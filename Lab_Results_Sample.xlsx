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ab Results" sheetId="1" r:id="rId4"/>
    <sheet name="Recommended Additional Tests" sheetId="2" r:id="rId5"/>
  </sheets>
</workbook>
</file>

<file path=xl/sharedStrings.xml><?xml version="1.0" encoding="utf-8"?>
<sst xmlns="http://schemas.openxmlformats.org/spreadsheetml/2006/main" uniqueCount="136">
  <si>
    <t>Lab Results — Shankar  |  Date: May 20, 2026  |  Sample Data</t>
  </si>
  <si>
    <t>Patient Sex (for Status range):</t>
  </si>
  <si>
    <t>Male</t>
  </si>
  <si>
    <t>← change to Male or Female</t>
  </si>
  <si>
    <t>Panel</t>
  </si>
  <si>
    <t>Test Name</t>
  </si>
  <si>
    <t>Result</t>
  </si>
  <si>
    <t>Unit</t>
  </si>
  <si>
    <t>Low ♂ (Male)</t>
  </si>
  <si>
    <t>High ♂ (Male)</t>
  </si>
  <si>
    <t>Low ♀ (Female)</t>
  </si>
  <si>
    <t>High ♀ (Female)</t>
  </si>
  <si>
    <t>Status</t>
  </si>
  <si>
    <t>Date</t>
  </si>
  <si>
    <t>Notes</t>
  </si>
  <si>
    <t>CBC &amp; Differential</t>
  </si>
  <si>
    <t>White Blood Cell (WBC)</t>
  </si>
  <si>
    <t>K/μL</t>
  </si>
  <si>
    <t>Normal</t>
  </si>
  <si>
    <t>2026-05-20</t>
  </si>
  <si>
    <t>Red Blood Cell (RBC)</t>
  </si>
  <si>
    <t>M/μL</t>
  </si>
  <si>
    <t>Hemoglobin (Hgb)</t>
  </si>
  <si>
    <t>g/dL</t>
  </si>
  <si>
    <t>Hematocrit (Hct)</t>
  </si>
  <si>
    <t>%</t>
  </si>
  <si>
    <t>Mean Corpuscular Volume (MCV)</t>
  </si>
  <si>
    <t>fL</t>
  </si>
  <si>
    <t>MCH</t>
  </si>
  <si>
    <t>pg</t>
  </si>
  <si>
    <t>MCHC</t>
  </si>
  <si>
    <t>Platelets</t>
  </si>
  <si>
    <t>Neutrophils</t>
  </si>
  <si>
    <t>Lymphocytes</t>
  </si>
  <si>
    <t>Monocytes</t>
  </si>
  <si>
    <t>Eosinophils</t>
  </si>
  <si>
    <t>—</t>
  </si>
  <si>
    <t>Low</t>
  </si>
  <si>
    <t>Basophils</t>
  </si>
  <si>
    <t>Non-Fasting Lipid Panel</t>
  </si>
  <si>
    <t>Total Cholesterol</t>
  </si>
  <si>
    <t>mg/dL</t>
  </si>
  <si>
    <t>Desirable: &lt;200</t>
  </si>
  <si>
    <t>LDL Cholesterol</t>
  </si>
  <si>
    <t>Optimal &lt;100; Near-optimal 100–129</t>
  </si>
  <si>
    <t>HDL Cholesterol</t>
  </si>
  <si>
    <t>Higher is better; ♂&gt;40, ♀&gt;50; &gt;60=protective</t>
  </si>
  <si>
    <t>Triglycerides</t>
  </si>
  <si>
    <t>Non-fasting; &lt;150 normal</t>
  </si>
  <si>
    <t>Non-HDL Cholesterol</t>
  </si>
  <si>
    <t>Optimal &lt;130</t>
  </si>
  <si>
    <t>Creatinine &amp; eGFR</t>
  </si>
  <si>
    <t>Creatinine</t>
  </si>
  <si>
    <t>eGFR</t>
  </si>
  <si>
    <t>mL/min/1.73m²</t>
  </si>
  <si>
    <t>&gt;60 = normal kidney function</t>
  </si>
  <si>
    <t>Sodium</t>
  </si>
  <si>
    <t>Sodium (Na⁺)</t>
  </si>
  <si>
    <t>mEq/L</t>
  </si>
  <si>
    <t>Potassium</t>
  </si>
  <si>
    <t>Potassium (K⁺)</t>
  </si>
  <si>
    <t>Hemoglobin A1C</t>
  </si>
  <si>
    <t>Normal &lt;5.7%; Prediabetes 5.7–6.4%</t>
  </si>
  <si>
    <t>TSH</t>
  </si>
  <si>
    <t>Thyroid Stimulating Hormone (TSH)</t>
  </si>
  <si>
    <t>mIU/L</t>
  </si>
  <si>
    <t>ALT</t>
  </si>
  <si>
    <t>Alanine Aminotransferase (ALT)</t>
  </si>
  <si>
    <t>U/L</t>
  </si>
  <si>
    <t>Upper limit differs by sex</t>
  </si>
  <si>
    <t>Blood Pressure</t>
  </si>
  <si>
    <t>Systolic BP</t>
  </si>
  <si>
    <t>mmHg</t>
  </si>
  <si>
    <t>Normal &lt;120; Elevated 120–129; Stage 1 HTN 130–139</t>
  </si>
  <si>
    <t>Diastolic BP</t>
  </si>
  <si>
    <t>Normal &lt;80; Stage 1 HTN 80–89; Stage 2 ≥90</t>
  </si>
  <si>
    <t>Recommended Tests to Complete Your Panel</t>
  </si>
  <si>
    <t>Test</t>
  </si>
  <si>
    <t>Why It Matters</t>
  </si>
  <si>
    <t>Normal Range</t>
  </si>
  <si>
    <t>Fasting Glucose</t>
  </si>
  <si>
    <t>Diagnoses diabetes alongside HbA1c; HbA1c alone can miss acute changes</t>
  </si>
  <si>
    <t>70–99 mg/dL</t>
  </si>
  <si>
    <t>Blood Urea Nitrogen (BUN)</t>
  </si>
  <si>
    <t>Pairs with creatinine to assess kidney function &amp; hydration</t>
  </si>
  <si>
    <t>7–20 mg/dL</t>
  </si>
  <si>
    <t>BUN/Creatinine Ratio</t>
  </si>
  <si>
    <t>Helps distinguish pre-renal vs. renal cause of kidney impairment</t>
  </si>
  <si>
    <t>10–20</t>
  </si>
  <si>
    <t>AST (Aspartate Aminotransferase)</t>
  </si>
  <si>
    <t>Liver enzyme; should always be ordered with ALT for full liver picture</t>
  </si>
  <si>
    <t>10–40 U/L (♂); 10–35 U/L (♀)</t>
  </si>
  <si>
    <t>Alkaline Phosphatase (ALP)</t>
  </si>
  <si>
    <t>Liver/bile duct &amp; bone health marker</t>
  </si>
  <si>
    <t>44–147 U/L</t>
  </si>
  <si>
    <t>Total Bilirubin</t>
  </si>
  <si>
    <t>Detects liver disease, bile duct obstruction, hemolysis</t>
  </si>
  <si>
    <t>0.2–1.2 mg/dL</t>
  </si>
  <si>
    <t>Albumin</t>
  </si>
  <si>
    <t>Nutritional status &amp; liver synthetic function</t>
  </si>
  <si>
    <t>3.5–5.0 g/dL</t>
  </si>
  <si>
    <t>Calcium</t>
  </si>
  <si>
    <t>Bone, kidney, and parathyroid health</t>
  </si>
  <si>
    <t>8.6–10.3 mg/dL</t>
  </si>
  <si>
    <t>Magnesium</t>
  </si>
  <si>
    <t>Muscle/nerve function; often low with poor diet or certain meds</t>
  </si>
  <si>
    <t>1.7–2.2 mg/dL</t>
  </si>
  <si>
    <t>Chloride</t>
  </si>
  <si>
    <t>Electrolyte balance; part of basic metabolic panel</t>
  </si>
  <si>
    <t>98–107 mEq/L</t>
  </si>
  <si>
    <t>CO₂ / Bicarbonate</t>
  </si>
  <si>
    <t>Acid-base balance; flags metabolic acidosis/alkalosis</t>
  </si>
  <si>
    <t>22–29 mEq/L</t>
  </si>
  <si>
    <t>Vitamin D (25-OH)</t>
  </si>
  <si>
    <t>Very commonly deficient; affects bone, immune, and cardiovascular health</t>
  </si>
  <si>
    <t>30–100 ng/mL</t>
  </si>
  <si>
    <t>Vitamin B12</t>
  </si>
  <si>
    <t>Neurological function; deficiency can mimic dementia or neuropathy</t>
  </si>
  <si>
    <t>200–900 pg/mL</t>
  </si>
  <si>
    <t>Ferritin</t>
  </si>
  <si>
    <t>Best single marker of iron stores; low=iron deficiency, high=inflammation</t>
  </si>
  <si>
    <t>30–400 ng/mL (♂); 12–150 ng/mL (♀)</t>
  </si>
  <si>
    <t>Serum Iron + TIBC</t>
  </si>
  <si>
    <t>Complete iron panel to evaluate anemia type</t>
  </si>
  <si>
    <t>Varies</t>
  </si>
  <si>
    <t>hs-CRP</t>
  </si>
  <si>
    <t>High-sensitivity inflammation marker; cardiovascular risk stratification</t>
  </si>
  <si>
    <t>&lt;1.0 mg/L low risk</t>
  </si>
  <si>
    <t>Uric Acid</t>
  </si>
  <si>
    <t>Gout risk; elevated with high-purine diet or kidney issues</t>
  </si>
  <si>
    <t>3.5–7.2 mg/dL (♂); 2.6–6.0 mg/dL (♀)</t>
  </si>
  <si>
    <t>PSA (if male ≥40–50)</t>
  </si>
  <si>
    <t>Prostate cancer screening; discuss timing with physician</t>
  </si>
  <si>
    <t>&lt;4.0 ng/mL</t>
  </si>
  <si>
    <t>Urinalysis (UA)</t>
  </si>
  <si>
    <t>Screens kidneys, bladder, UTI, and glucose spill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</si>
</sst>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3"/>
      <color indexed="9"/>
      <name val="Arial"/>
    </font>
    <font>
      <sz val="10"/>
      <color indexed="8"/>
      <name val="Arial"/>
    </font>
    <font>
      <sz val="10"/>
      <color indexed="14"/>
      <name val="Arial"/>
    </font>
    <font>
      <sz val="9"/>
      <color indexed="16"/>
      <name val="Arial"/>
    </font>
    <font>
      <sz val="10"/>
      <color indexed="9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medium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14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1" fontId="3" fillId="2" borderId="2" applyNumberFormat="1" applyFont="1" applyFill="1" applyBorder="1" applyAlignment="1" applyProtection="0">
      <alignment horizontal="center" vertical="center" wrapText="1"/>
    </xf>
    <xf numFmtId="1" fontId="3" fillId="2" borderId="3" applyNumberFormat="1" applyFont="1" applyFill="1" applyBorder="1" applyAlignment="1" applyProtection="0">
      <alignment horizontal="center" vertical="center" wrapText="1"/>
    </xf>
    <xf numFmtId="1" fontId="3" fillId="2" borderId="4" applyNumberFormat="1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horizontal="left" vertical="center" wrapText="1"/>
    </xf>
    <xf numFmtId="1" fontId="4" fillId="3" borderId="5" applyNumberFormat="1" applyFont="1" applyFill="1" applyBorder="1" applyAlignment="1" applyProtection="0">
      <alignment horizontal="left" vertical="center" wrapText="1"/>
    </xf>
    <xf numFmtId="49" fontId="5" fillId="4" borderId="5" applyNumberFormat="1" applyFont="1" applyFill="1" applyBorder="1" applyAlignment="1" applyProtection="0">
      <alignment horizontal="center" vertical="center" wrapText="1"/>
    </xf>
    <xf numFmtId="49" fontId="6" fillId="5" borderId="6" applyNumberFormat="1" applyFont="1" applyFill="1" applyBorder="1" applyAlignment="1" applyProtection="0">
      <alignment horizontal="left" vertical="center" wrapText="1"/>
    </xf>
    <xf numFmtId="1" fontId="6" fillId="5" borderId="7" applyNumberFormat="1" applyFont="1" applyFill="1" applyBorder="1" applyAlignment="1" applyProtection="0">
      <alignment horizontal="left" vertical="center" wrapText="1"/>
    </xf>
    <xf numFmtId="0" fontId="0" fillId="5" borderId="8" applyNumberFormat="0" applyFont="1" applyFill="1" applyBorder="1" applyAlignment="1" applyProtection="0">
      <alignment vertical="bottom"/>
    </xf>
    <xf numFmtId="0" fontId="0" fillId="5" borderId="9" applyNumberFormat="0" applyFont="1" applyFill="1" applyBorder="1" applyAlignment="1" applyProtection="0">
      <alignment vertical="bottom"/>
    </xf>
    <xf numFmtId="49" fontId="7" fillId="6" borderId="10" applyNumberFormat="1" applyFont="1" applyFill="1" applyBorder="1" applyAlignment="1" applyProtection="0">
      <alignment horizontal="center" vertical="center" wrapText="1"/>
    </xf>
    <xf numFmtId="49" fontId="4" fillId="7" borderId="5" applyNumberFormat="1" applyFont="1" applyFill="1" applyBorder="1" applyAlignment="1" applyProtection="0">
      <alignment horizontal="left" vertical="center" wrapText="1"/>
    </xf>
    <xf numFmtId="1" fontId="4" fillId="7" borderId="5" applyNumberFormat="1" applyFont="1" applyFill="1" applyBorder="1" applyAlignment="1" applyProtection="0">
      <alignment horizontal="center" vertical="center" wrapText="1"/>
    </xf>
    <xf numFmtId="49" fontId="4" fillId="7" borderId="5" applyNumberFormat="1" applyFont="1" applyFill="1" applyBorder="1" applyAlignment="1" applyProtection="0">
      <alignment horizontal="center" vertical="center" wrapText="1"/>
    </xf>
    <xf numFmtId="1" fontId="4" fillId="7" borderId="5" applyNumberFormat="1" applyFont="1" applyFill="1" applyBorder="1" applyAlignment="1" applyProtection="0">
      <alignment horizontal="left" vertical="center" wrapText="1"/>
    </xf>
    <xf numFmtId="49" fontId="4" fillId="5" borderId="5" applyNumberFormat="1" applyFont="1" applyFill="1" applyBorder="1" applyAlignment="1" applyProtection="0">
      <alignment horizontal="left" vertical="center" wrapText="1"/>
    </xf>
    <xf numFmtId="1" fontId="4" fillId="5" borderId="5" applyNumberFormat="1" applyFont="1" applyFill="1" applyBorder="1" applyAlignment="1" applyProtection="0">
      <alignment horizontal="center" vertical="center" wrapText="1"/>
    </xf>
    <xf numFmtId="49" fontId="4" fillId="5" borderId="5" applyNumberFormat="1" applyFont="1" applyFill="1" applyBorder="1" applyAlignment="1" applyProtection="0">
      <alignment horizontal="center" vertical="center" wrapText="1"/>
    </xf>
    <xf numFmtId="1" fontId="4" fillId="5" borderId="5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7" fillId="6" borderId="5" applyNumberFormat="1" applyFont="1" applyFill="1" applyBorder="1" applyAlignment="1" applyProtection="0">
      <alignment horizontal="center" vertical="center" wrapText="1"/>
    </xf>
    <xf numFmtId="0" fontId="0" borderId="13" applyNumberFormat="0" applyFont="1" applyFill="0" applyBorder="1" applyAlignment="1" applyProtection="0">
      <alignment vertical="bottom"/>
    </xf>
  </cellXfs>
  <cellStyles count="1">
    <cellStyle name="Normal" xfId="0" builtinId="0"/>
  </cellStyles>
  <dxfs count="9">
    <dxf>
      <font>
        <b val="1"/>
        <color rgb="ff276221"/>
      </font>
      <fill>
        <patternFill patternType="solid">
          <fgColor indexed="18"/>
          <bgColor indexed="19"/>
        </patternFill>
      </fill>
    </dxf>
    <dxf>
      <font>
        <b val="1"/>
        <color rgb="ff9c0006"/>
      </font>
      <fill>
        <patternFill patternType="solid">
          <fgColor indexed="18"/>
          <bgColor indexed="21"/>
        </patternFill>
      </fill>
    </dxf>
    <dxf>
      <font>
        <b val="1"/>
        <color rgb="ff9c6500"/>
      </font>
      <fill>
        <patternFill patternType="solid">
          <fgColor indexed="18"/>
          <bgColor indexed="23"/>
        </patternFill>
      </fill>
    </dxf>
    <dxf>
      <font>
        <b val="1"/>
        <color rgb="ff276221"/>
      </font>
      <fill>
        <patternFill patternType="solid">
          <fgColor indexed="18"/>
          <bgColor indexed="19"/>
        </patternFill>
      </fill>
    </dxf>
    <dxf>
      <font>
        <b val="1"/>
        <color rgb="ff9c0006"/>
      </font>
      <fill>
        <patternFill patternType="solid">
          <fgColor indexed="18"/>
          <bgColor indexed="21"/>
        </patternFill>
      </fill>
    </dxf>
    <dxf>
      <font>
        <b val="1"/>
        <color rgb="ff9c6500"/>
      </font>
      <fill>
        <patternFill patternType="solid">
          <fgColor indexed="18"/>
          <bgColor indexed="23"/>
        </patternFill>
      </fill>
    </dxf>
    <dxf>
      <font>
        <b val="1"/>
        <color rgb="ff276221"/>
      </font>
      <fill>
        <patternFill patternType="solid">
          <fgColor indexed="18"/>
          <bgColor indexed="19"/>
        </patternFill>
      </fill>
    </dxf>
    <dxf>
      <font>
        <b val="1"/>
        <color rgb="ff9c0006"/>
      </font>
      <fill>
        <patternFill patternType="solid">
          <fgColor indexed="18"/>
          <bgColor indexed="21"/>
        </patternFill>
      </fill>
    </dxf>
    <dxf>
      <font>
        <b val="1"/>
        <color rgb="ff9c6500"/>
      </font>
      <fill>
        <patternFill patternType="solid">
          <fgColor indexed="18"/>
          <bgColor indexed="2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d2f4f"/>
      <rgbColor rgb="ffaaaaaa"/>
      <rgbColor rgb="ffbfbfbf"/>
      <rgbColor rgb="ffd6e4f0"/>
      <rgbColor rgb="ff1f4e79"/>
      <rgbColor rgb="ffffff00"/>
      <rgbColor rgb="ff595959"/>
      <rgbColor rgb="fff2f7fb"/>
      <rgbColor rgb="00000000"/>
      <rgbColor rgb="ffc6efce"/>
      <rgbColor rgb="ff276221"/>
      <rgbColor rgb="ffffc7ce"/>
      <rgbColor rgb="ff9c0006"/>
      <rgbColor rgb="ffffeb9c"/>
      <rgbColor rgb="ff9c65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1"/>
  <sheetViews>
    <sheetView workbookViewId="0" showGridLines="0" defaultGridColor="1"/>
  </sheetViews>
  <sheetFormatPr defaultColWidth="8.66667" defaultRowHeight="15" customHeight="1" outlineLevelRow="0" outlineLevelCol="0"/>
  <cols>
    <col min="1" max="1" width="26" style="1" customWidth="1"/>
    <col min="2" max="2" width="34" style="1" customWidth="1"/>
    <col min="3" max="3" width="10" style="1" customWidth="1"/>
    <col min="4" max="4" width="18" style="1" customWidth="1"/>
    <col min="5" max="6" width="14" style="1" customWidth="1"/>
    <col min="7" max="8" width="16" style="1" customWidth="1"/>
    <col min="9" max="9" width="12" style="1" customWidth="1"/>
    <col min="10" max="10" width="13" style="1" customWidth="1"/>
    <col min="11" max="11" width="38" style="1" customWidth="1"/>
    <col min="12" max="16384" width="8.67188" style="1" customWidth="1"/>
  </cols>
  <sheetData>
    <row r="1" ht="36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5"/>
    </row>
    <row r="2" ht="24" customHeight="1">
      <c r="A2" t="s" s="6">
        <v>1</v>
      </c>
      <c r="B2" s="7"/>
      <c r="C2" t="s" s="8">
        <v>2</v>
      </c>
      <c r="D2" t="s" s="9">
        <v>3</v>
      </c>
      <c r="E2" s="10"/>
      <c r="F2" s="10"/>
      <c r="G2" s="10"/>
      <c r="H2" s="10"/>
      <c r="I2" s="10"/>
      <c r="J2" s="10"/>
      <c r="K2" s="10"/>
    </row>
    <row r="3" ht="8" customHeight="1">
      <c r="A3" s="11"/>
      <c r="B3" s="11"/>
      <c r="C3" s="11"/>
      <c r="D3" s="12"/>
      <c r="E3" s="12"/>
      <c r="F3" s="12"/>
      <c r="G3" s="12"/>
      <c r="H3" s="12"/>
      <c r="I3" s="12"/>
      <c r="J3" s="12"/>
      <c r="K3" s="12"/>
    </row>
    <row r="4" ht="27.75" customHeight="1">
      <c r="A4" t="s" s="13">
        <v>4</v>
      </c>
      <c r="B4" t="s" s="13">
        <v>5</v>
      </c>
      <c r="C4" t="s" s="13">
        <v>6</v>
      </c>
      <c r="D4" t="s" s="13">
        <v>7</v>
      </c>
      <c r="E4" t="s" s="13">
        <v>8</v>
      </c>
      <c r="F4" t="s" s="13">
        <v>9</v>
      </c>
      <c r="G4" t="s" s="13">
        <v>10</v>
      </c>
      <c r="H4" t="s" s="13">
        <v>11</v>
      </c>
      <c r="I4" t="s" s="13">
        <v>12</v>
      </c>
      <c r="J4" t="s" s="13">
        <v>13</v>
      </c>
      <c r="K4" t="s" s="13">
        <v>14</v>
      </c>
    </row>
    <row r="5" ht="19.5" customHeight="1">
      <c r="A5" t="s" s="14">
        <v>15</v>
      </c>
      <c r="B5" t="s" s="14">
        <v>16</v>
      </c>
      <c r="C5" s="15">
        <v>7.2</v>
      </c>
      <c r="D5" t="s" s="14">
        <v>17</v>
      </c>
      <c r="E5" s="15">
        <v>4.5</v>
      </c>
      <c r="F5" s="15">
        <v>11</v>
      </c>
      <c r="G5" s="15">
        <v>4.5</v>
      </c>
      <c r="H5" s="15">
        <v>11</v>
      </c>
      <c r="I5" t="s" s="16">
        <f>IF(C5="","—",IF(AND(IF($C$2="Male",E5,G5)=0,IF($C$2="Male",F5,H5)=9999),"—",IF(C5&lt;IF($C$2="Male",E5,G5),"Low",IF(C5&gt;IF($C$2="Male",F5,H5),"High","Normal"))))</f>
        <v>18</v>
      </c>
      <c r="J5" t="s" s="16">
        <v>19</v>
      </c>
      <c r="K5" s="17"/>
    </row>
    <row r="6" ht="19.5" customHeight="1">
      <c r="A6" t="s" s="14">
        <v>15</v>
      </c>
      <c r="B6" t="s" s="14">
        <v>20</v>
      </c>
      <c r="C6" s="15">
        <v>4.8</v>
      </c>
      <c r="D6" t="s" s="14">
        <v>21</v>
      </c>
      <c r="E6" s="15">
        <v>4.7</v>
      </c>
      <c r="F6" s="15">
        <v>6.1</v>
      </c>
      <c r="G6" s="15">
        <v>4.2</v>
      </c>
      <c r="H6" s="15">
        <v>5.4</v>
      </c>
      <c r="I6" t="s" s="16">
        <f>IF(C6="","—",IF(AND(IF($C$2="Male",E6,G6)=0,IF($C$2="Male",F6,H6)=9999),"—",IF(C6&lt;IF($C$2="Male",E6,G6),"Low",IF(C6&gt;IF($C$2="Male",F6,H6),"High","Normal"))))</f>
        <v>18</v>
      </c>
      <c r="J6" t="s" s="16">
        <v>19</v>
      </c>
      <c r="K6" s="17"/>
    </row>
    <row r="7" ht="19.5" customHeight="1">
      <c r="A7" t="s" s="14">
        <v>15</v>
      </c>
      <c r="B7" t="s" s="14">
        <v>22</v>
      </c>
      <c r="C7" s="15">
        <v>14.5</v>
      </c>
      <c r="D7" t="s" s="14">
        <v>23</v>
      </c>
      <c r="E7" s="15">
        <v>13.5</v>
      </c>
      <c r="F7" s="15">
        <v>17.5</v>
      </c>
      <c r="G7" s="15">
        <v>12</v>
      </c>
      <c r="H7" s="15">
        <v>15.5</v>
      </c>
      <c r="I7" t="s" s="16">
        <f>IF(C7="","—",IF(AND(IF($C$2="Male",E7,G7)=0,IF($C$2="Male",F7,H7)=9999),"—",IF(C7&lt;IF($C$2="Male",E7,G7),"Low",IF(C7&gt;IF($C$2="Male",F7,H7),"High","Normal"))))</f>
        <v>18</v>
      </c>
      <c r="J7" t="s" s="16">
        <v>19</v>
      </c>
      <c r="K7" s="17"/>
    </row>
    <row r="8" ht="19.5" customHeight="1">
      <c r="A8" t="s" s="14">
        <v>15</v>
      </c>
      <c r="B8" t="s" s="14">
        <v>24</v>
      </c>
      <c r="C8" s="15">
        <v>43</v>
      </c>
      <c r="D8" t="s" s="14">
        <v>25</v>
      </c>
      <c r="E8" s="15">
        <v>41</v>
      </c>
      <c r="F8" s="15">
        <v>53</v>
      </c>
      <c r="G8" s="15">
        <v>36</v>
      </c>
      <c r="H8" s="15">
        <v>46</v>
      </c>
      <c r="I8" t="s" s="16">
        <f>IF(C8="","—",IF(AND(IF($C$2="Male",E8,G8)=0,IF($C$2="Male",F8,H8)=9999),"—",IF(C8&lt;IF($C$2="Male",E8,G8),"Low",IF(C8&gt;IF($C$2="Male",F8,H8),"High","Normal"))))</f>
        <v>18</v>
      </c>
      <c r="J8" t="s" s="16">
        <v>19</v>
      </c>
      <c r="K8" s="17"/>
    </row>
    <row r="9" ht="19.5" customHeight="1">
      <c r="A9" t="s" s="14">
        <v>15</v>
      </c>
      <c r="B9" t="s" s="14">
        <v>26</v>
      </c>
      <c r="C9" s="15">
        <v>88</v>
      </c>
      <c r="D9" t="s" s="14">
        <v>27</v>
      </c>
      <c r="E9" s="15">
        <v>80</v>
      </c>
      <c r="F9" s="15">
        <v>100</v>
      </c>
      <c r="G9" s="15">
        <v>80</v>
      </c>
      <c r="H9" s="15">
        <v>100</v>
      </c>
      <c r="I9" t="s" s="16">
        <f>IF(C9="","—",IF(AND(IF($C$2="Male",E9,G9)=0,IF($C$2="Male",F9,H9)=9999),"—",IF(C9&lt;IF($C$2="Male",E9,G9),"Low",IF(C9&gt;IF($C$2="Male",F9,H9),"High","Normal"))))</f>
        <v>18</v>
      </c>
      <c r="J9" t="s" s="16">
        <v>19</v>
      </c>
      <c r="K9" s="17"/>
    </row>
    <row r="10" ht="19.5" customHeight="1">
      <c r="A10" t="s" s="14">
        <v>15</v>
      </c>
      <c r="B10" t="s" s="14">
        <v>28</v>
      </c>
      <c r="C10" s="15">
        <v>29</v>
      </c>
      <c r="D10" t="s" s="14">
        <v>29</v>
      </c>
      <c r="E10" s="15">
        <v>27</v>
      </c>
      <c r="F10" s="15">
        <v>33</v>
      </c>
      <c r="G10" s="15">
        <v>27</v>
      </c>
      <c r="H10" s="15">
        <v>33</v>
      </c>
      <c r="I10" t="s" s="16">
        <f>IF(C10="","—",IF(AND(IF($C$2="Male",E10,G10)=0,IF($C$2="Male",F10,H10)=9999),"—",IF(C10&lt;IF($C$2="Male",E10,G10),"Low",IF(C10&gt;IF($C$2="Male",F10,H10),"High","Normal"))))</f>
        <v>18</v>
      </c>
      <c r="J10" t="s" s="16">
        <v>19</v>
      </c>
      <c r="K10" s="17"/>
    </row>
    <row r="11" ht="19.5" customHeight="1">
      <c r="A11" t="s" s="14">
        <v>15</v>
      </c>
      <c r="B11" t="s" s="14">
        <v>30</v>
      </c>
      <c r="C11" s="15">
        <v>33.5</v>
      </c>
      <c r="D11" t="s" s="14">
        <v>23</v>
      </c>
      <c r="E11" s="15">
        <v>32</v>
      </c>
      <c r="F11" s="15">
        <v>36</v>
      </c>
      <c r="G11" s="15">
        <v>32</v>
      </c>
      <c r="H11" s="15">
        <v>36</v>
      </c>
      <c r="I11" t="s" s="16">
        <f>IF(C11="","—",IF(AND(IF($C$2="Male",E11,G11)=0,IF($C$2="Male",F11,H11)=9999),"—",IF(C11&lt;IF($C$2="Male",E11,G11),"Low",IF(C11&gt;IF($C$2="Male",F11,H11),"High","Normal"))))</f>
        <v>18</v>
      </c>
      <c r="J11" t="s" s="16">
        <v>19</v>
      </c>
      <c r="K11" s="17"/>
    </row>
    <row r="12" ht="19.5" customHeight="1">
      <c r="A12" t="s" s="14">
        <v>15</v>
      </c>
      <c r="B12" t="s" s="14">
        <v>31</v>
      </c>
      <c r="C12" s="15">
        <v>245</v>
      </c>
      <c r="D12" t="s" s="14">
        <v>17</v>
      </c>
      <c r="E12" s="15">
        <v>150</v>
      </c>
      <c r="F12" s="15">
        <v>400</v>
      </c>
      <c r="G12" s="15">
        <v>150</v>
      </c>
      <c r="H12" s="15">
        <v>400</v>
      </c>
      <c r="I12" t="s" s="16">
        <f>IF(C12="","—",IF(AND(IF($C$2="Male",E12,G12)=0,IF($C$2="Male",F12,H12)=9999),"—",IF(C12&lt;IF($C$2="Male",E12,G12),"Low",IF(C12&gt;IF($C$2="Male",F12,H12),"High","Normal"))))</f>
        <v>18</v>
      </c>
      <c r="J12" t="s" s="16">
        <v>19</v>
      </c>
      <c r="K12" s="17"/>
    </row>
    <row r="13" ht="19.5" customHeight="1">
      <c r="A13" t="s" s="14">
        <v>15</v>
      </c>
      <c r="B13" t="s" s="14">
        <v>32</v>
      </c>
      <c r="C13" s="15">
        <v>58</v>
      </c>
      <c r="D13" t="s" s="14">
        <v>25</v>
      </c>
      <c r="E13" s="15">
        <v>45</v>
      </c>
      <c r="F13" s="15">
        <v>75</v>
      </c>
      <c r="G13" s="15">
        <v>45</v>
      </c>
      <c r="H13" s="15">
        <v>75</v>
      </c>
      <c r="I13" t="s" s="16">
        <f>IF(C13="","—",IF(AND(IF($C$2="Male",E13,G13)=0,IF($C$2="Male",F13,H13)=9999),"—",IF(C13&lt;IF($C$2="Male",E13,G13),"Low",IF(C13&gt;IF($C$2="Male",F13,H13),"High","Normal"))))</f>
        <v>18</v>
      </c>
      <c r="J13" t="s" s="16">
        <v>19</v>
      </c>
      <c r="K13" s="17"/>
    </row>
    <row r="14" ht="19.5" customHeight="1">
      <c r="A14" t="s" s="14">
        <v>15</v>
      </c>
      <c r="B14" t="s" s="14">
        <v>33</v>
      </c>
      <c r="C14" s="15">
        <v>32</v>
      </c>
      <c r="D14" t="s" s="14">
        <v>25</v>
      </c>
      <c r="E14" s="15">
        <v>20</v>
      </c>
      <c r="F14" s="15">
        <v>45</v>
      </c>
      <c r="G14" s="15">
        <v>20</v>
      </c>
      <c r="H14" s="15">
        <v>45</v>
      </c>
      <c r="I14" t="s" s="16">
        <f>IF(C14="","—",IF(AND(IF($C$2="Male",E14,G14)=0,IF($C$2="Male",F14,H14)=9999),"—",IF(C14&lt;IF($C$2="Male",E14,G14),"Low",IF(C14&gt;IF($C$2="Male",F14,H14),"High","Normal"))))</f>
        <v>18</v>
      </c>
      <c r="J14" t="s" s="16">
        <v>19</v>
      </c>
      <c r="K14" s="17"/>
    </row>
    <row r="15" ht="19.5" customHeight="1">
      <c r="A15" t="s" s="14">
        <v>15</v>
      </c>
      <c r="B15" t="s" s="14">
        <v>34</v>
      </c>
      <c r="C15" s="15">
        <v>7</v>
      </c>
      <c r="D15" t="s" s="14">
        <v>25</v>
      </c>
      <c r="E15" s="15">
        <v>2</v>
      </c>
      <c r="F15" s="15">
        <v>10</v>
      </c>
      <c r="G15" s="15">
        <v>2</v>
      </c>
      <c r="H15" s="15">
        <v>10</v>
      </c>
      <c r="I15" t="s" s="16">
        <f>IF(C15="","—",IF(AND(IF($C$2="Male",E15,G15)=0,IF($C$2="Male",F15,H15)=9999),"—",IF(C15&lt;IF($C$2="Male",E15,G15),"Low",IF(C15&gt;IF($C$2="Male",F15,H15),"High","Normal"))))</f>
        <v>18</v>
      </c>
      <c r="J15" t="s" s="16">
        <v>19</v>
      </c>
      <c r="K15" s="17"/>
    </row>
    <row r="16" ht="19.5" customHeight="1">
      <c r="A16" t="s" s="14">
        <v>15</v>
      </c>
      <c r="B16" t="s" s="14">
        <v>35</v>
      </c>
      <c r="C16" s="15">
        <v>2</v>
      </c>
      <c r="D16" t="s" s="14">
        <v>25</v>
      </c>
      <c r="E16" t="s" s="16">
        <v>36</v>
      </c>
      <c r="F16" s="15">
        <v>6</v>
      </c>
      <c r="G16" t="s" s="16">
        <v>36</v>
      </c>
      <c r="H16" s="15">
        <v>6</v>
      </c>
      <c r="I16" t="s" s="16">
        <f>IF(C16="","—",IF(AND(IF($C$2="Male",E16,G16)=0,IF($C$2="Male",F16,H16)=9999),"—",IF(C16&lt;IF($C$2="Male",E16,G16),"Low",IF(C16&gt;IF($C$2="Male",F16,H16),"High","Normal"))))</f>
        <v>37</v>
      </c>
      <c r="J16" t="s" s="16">
        <v>19</v>
      </c>
      <c r="K16" s="17"/>
    </row>
    <row r="17" ht="19.5" customHeight="1">
      <c r="A17" t="s" s="14">
        <v>15</v>
      </c>
      <c r="B17" t="s" s="14">
        <v>38</v>
      </c>
      <c r="C17" s="15">
        <v>1</v>
      </c>
      <c r="D17" t="s" s="14">
        <v>25</v>
      </c>
      <c r="E17" t="s" s="16">
        <v>36</v>
      </c>
      <c r="F17" s="15">
        <v>2</v>
      </c>
      <c r="G17" t="s" s="16">
        <v>36</v>
      </c>
      <c r="H17" s="15">
        <v>2</v>
      </c>
      <c r="I17" t="s" s="16">
        <f>IF(C17="","—",IF(AND(IF($C$2="Male",E17,G17)=0,IF($C$2="Male",F17,H17)=9999),"—",IF(C17&lt;IF($C$2="Male",E17,G17),"Low",IF(C17&gt;IF($C$2="Male",F17,H17),"High","Normal"))))</f>
        <v>37</v>
      </c>
      <c r="J17" t="s" s="16">
        <v>19</v>
      </c>
      <c r="K17" s="17"/>
    </row>
    <row r="18" ht="19.5" customHeight="1">
      <c r="A18" t="s" s="18">
        <v>39</v>
      </c>
      <c r="B18" t="s" s="18">
        <v>40</v>
      </c>
      <c r="C18" s="19">
        <v>195</v>
      </c>
      <c r="D18" t="s" s="18">
        <v>41</v>
      </c>
      <c r="E18" t="s" s="20">
        <v>36</v>
      </c>
      <c r="F18" s="19">
        <v>200</v>
      </c>
      <c r="G18" t="s" s="20">
        <v>36</v>
      </c>
      <c r="H18" s="19">
        <v>200</v>
      </c>
      <c r="I18" t="s" s="20">
        <f>IF(C18="","—",IF(AND(IF($C$2="Male",E18,G18)=0,IF($C$2="Male",F18,H18)=9999),"—",IF(C18&lt;IF($C$2="Male",E18,G18),"Low",IF(C18&gt;IF($C$2="Male",F18,H18),"High","Normal"))))</f>
        <v>37</v>
      </c>
      <c r="J18" t="s" s="20">
        <v>19</v>
      </c>
      <c r="K18" t="s" s="18">
        <v>42</v>
      </c>
    </row>
    <row r="19" ht="19.5" customHeight="1">
      <c r="A19" t="s" s="18">
        <v>39</v>
      </c>
      <c r="B19" t="s" s="18">
        <v>43</v>
      </c>
      <c r="C19" s="19">
        <v>118</v>
      </c>
      <c r="D19" t="s" s="18">
        <v>41</v>
      </c>
      <c r="E19" t="s" s="20">
        <v>36</v>
      </c>
      <c r="F19" s="19">
        <v>100</v>
      </c>
      <c r="G19" t="s" s="20">
        <v>36</v>
      </c>
      <c r="H19" s="19">
        <v>100</v>
      </c>
      <c r="I19" t="s" s="20">
        <f>IF(C19="","—",IF(AND(IF($C$2="Male",E19,G19)=0,IF($C$2="Male",F19,H19)=9999),"—",IF(C19&lt;IF($C$2="Male",E19,G19),"Low",IF(C19&gt;IF($C$2="Male",F19,H19),"High","Normal"))))</f>
        <v>37</v>
      </c>
      <c r="J19" t="s" s="20">
        <v>19</v>
      </c>
      <c r="K19" t="s" s="18">
        <v>44</v>
      </c>
    </row>
    <row r="20" ht="19.5" customHeight="1">
      <c r="A20" t="s" s="18">
        <v>39</v>
      </c>
      <c r="B20" t="s" s="18">
        <v>45</v>
      </c>
      <c r="C20" s="19">
        <v>52</v>
      </c>
      <c r="D20" t="s" s="18">
        <v>41</v>
      </c>
      <c r="E20" s="19">
        <v>40</v>
      </c>
      <c r="F20" t="s" s="20">
        <v>36</v>
      </c>
      <c r="G20" s="19">
        <v>50</v>
      </c>
      <c r="H20" t="s" s="20">
        <v>36</v>
      </c>
      <c r="I20" t="s" s="20">
        <f>IF(C20="","—",IF(AND(IF($C$2="Male",E20,G20)=0,IF($C$2="Male",F20,H20)=9999),"—",IF(C20&lt;IF($C$2="Male",E20,G20),"Low",IF(C20&gt;IF($C$2="Male",F20,H20),"High","Normal"))))</f>
        <v>18</v>
      </c>
      <c r="J20" t="s" s="20">
        <v>19</v>
      </c>
      <c r="K20" t="s" s="18">
        <v>46</v>
      </c>
    </row>
    <row r="21" ht="19.5" customHeight="1">
      <c r="A21" t="s" s="18">
        <v>39</v>
      </c>
      <c r="B21" t="s" s="18">
        <v>47</v>
      </c>
      <c r="C21" s="19">
        <v>145</v>
      </c>
      <c r="D21" t="s" s="18">
        <v>41</v>
      </c>
      <c r="E21" t="s" s="20">
        <v>36</v>
      </c>
      <c r="F21" s="19">
        <v>150</v>
      </c>
      <c r="G21" t="s" s="20">
        <v>36</v>
      </c>
      <c r="H21" s="19">
        <v>150</v>
      </c>
      <c r="I21" t="s" s="20">
        <f>IF(C21="","—",IF(AND(IF($C$2="Male",E21,G21)=0,IF($C$2="Male",F21,H21)=9999),"—",IF(C21&lt;IF($C$2="Male",E21,G21),"Low",IF(C21&gt;IF($C$2="Male",F21,H21),"High","Normal"))))</f>
        <v>37</v>
      </c>
      <c r="J21" t="s" s="20">
        <v>19</v>
      </c>
      <c r="K21" t="s" s="18">
        <v>48</v>
      </c>
    </row>
    <row r="22" ht="19.5" customHeight="1">
      <c r="A22" t="s" s="18">
        <v>39</v>
      </c>
      <c r="B22" t="s" s="18">
        <v>49</v>
      </c>
      <c r="C22" s="19">
        <v>143</v>
      </c>
      <c r="D22" t="s" s="18">
        <v>41</v>
      </c>
      <c r="E22" t="s" s="20">
        <v>36</v>
      </c>
      <c r="F22" s="19">
        <v>130</v>
      </c>
      <c r="G22" t="s" s="20">
        <v>36</v>
      </c>
      <c r="H22" s="19">
        <v>130</v>
      </c>
      <c r="I22" t="s" s="20">
        <f>IF(C22="","—",IF(AND(IF($C$2="Male",E22,G22)=0,IF($C$2="Male",F22,H22)=9999),"—",IF(C22&lt;IF($C$2="Male",E22,G22),"Low",IF(C22&gt;IF($C$2="Male",F22,H22),"High","Normal"))))</f>
        <v>37</v>
      </c>
      <c r="J22" t="s" s="20">
        <v>19</v>
      </c>
      <c r="K22" t="s" s="18">
        <v>50</v>
      </c>
    </row>
    <row r="23" ht="19.5" customHeight="1">
      <c r="A23" t="s" s="14">
        <v>51</v>
      </c>
      <c r="B23" t="s" s="14">
        <v>52</v>
      </c>
      <c r="C23" s="15">
        <v>1</v>
      </c>
      <c r="D23" t="s" s="14">
        <v>41</v>
      </c>
      <c r="E23" s="15">
        <v>0.7</v>
      </c>
      <c r="F23" s="15">
        <v>1.3</v>
      </c>
      <c r="G23" s="15">
        <v>0.6</v>
      </c>
      <c r="H23" s="15">
        <v>1.1</v>
      </c>
      <c r="I23" t="s" s="16">
        <f>IF(C23="","—",IF(AND(IF($C$2="Male",E23,G23)=0,IF($C$2="Male",F23,H23)=9999),"—",IF(C23&lt;IF($C$2="Male",E23,G23),"Low",IF(C23&gt;IF($C$2="Male",F23,H23),"High","Normal"))))</f>
        <v>18</v>
      </c>
      <c r="J23" t="s" s="16">
        <v>19</v>
      </c>
      <c r="K23" s="17"/>
    </row>
    <row r="24" ht="19.5" customHeight="1">
      <c r="A24" t="s" s="14">
        <v>51</v>
      </c>
      <c r="B24" t="s" s="14">
        <v>53</v>
      </c>
      <c r="C24" s="15">
        <v>82</v>
      </c>
      <c r="D24" t="s" s="14">
        <v>54</v>
      </c>
      <c r="E24" s="15">
        <v>60</v>
      </c>
      <c r="F24" t="s" s="16">
        <v>36</v>
      </c>
      <c r="G24" s="15">
        <v>60</v>
      </c>
      <c r="H24" t="s" s="16">
        <v>36</v>
      </c>
      <c r="I24" t="s" s="16">
        <f>IF(C24="","—",IF(AND(IF($C$2="Male",E24,G24)=0,IF($C$2="Male",F24,H24)=9999),"—",IF(C24&lt;IF($C$2="Male",E24,G24),"Low",IF(C24&gt;IF($C$2="Male",F24,H24),"High","Normal"))))</f>
        <v>18</v>
      </c>
      <c r="J24" t="s" s="16">
        <v>19</v>
      </c>
      <c r="K24" t="s" s="14">
        <v>55</v>
      </c>
    </row>
    <row r="25" ht="19.5" customHeight="1">
      <c r="A25" t="s" s="18">
        <v>56</v>
      </c>
      <c r="B25" t="s" s="18">
        <v>57</v>
      </c>
      <c r="C25" s="19">
        <v>140</v>
      </c>
      <c r="D25" t="s" s="18">
        <v>58</v>
      </c>
      <c r="E25" s="19">
        <v>136</v>
      </c>
      <c r="F25" s="19">
        <v>145</v>
      </c>
      <c r="G25" s="19">
        <v>136</v>
      </c>
      <c r="H25" s="19">
        <v>145</v>
      </c>
      <c r="I25" t="s" s="20">
        <f>IF(C25="","—",IF(AND(IF($C$2="Male",E25,G25)=0,IF($C$2="Male",F25,H25)=9999),"—",IF(C25&lt;IF($C$2="Male",E25,G25),"Low",IF(C25&gt;IF($C$2="Male",F25,H25),"High","Normal"))))</f>
        <v>18</v>
      </c>
      <c r="J25" t="s" s="20">
        <v>19</v>
      </c>
      <c r="K25" s="21"/>
    </row>
    <row r="26" ht="19.5" customHeight="1">
      <c r="A26" t="s" s="14">
        <v>59</v>
      </c>
      <c r="B26" t="s" s="14">
        <v>60</v>
      </c>
      <c r="C26" s="15">
        <v>4.2</v>
      </c>
      <c r="D26" t="s" s="14">
        <v>58</v>
      </c>
      <c r="E26" s="15">
        <v>3.5</v>
      </c>
      <c r="F26" s="15">
        <v>5.1</v>
      </c>
      <c r="G26" s="15">
        <v>3.5</v>
      </c>
      <c r="H26" s="15">
        <v>5.1</v>
      </c>
      <c r="I26" t="s" s="16">
        <f>IF(C26="","—",IF(AND(IF($C$2="Male",E26,G26)=0,IF($C$2="Male",F26,H26)=9999),"—",IF(C26&lt;IF($C$2="Male",E26,G26),"Low",IF(C26&gt;IF($C$2="Male",F26,H26),"High","Normal"))))</f>
        <v>18</v>
      </c>
      <c r="J26" t="s" s="16">
        <v>19</v>
      </c>
      <c r="K26" s="17"/>
    </row>
    <row r="27" ht="19.5" customHeight="1">
      <c r="A27" t="s" s="18">
        <v>61</v>
      </c>
      <c r="B27" t="s" s="18">
        <v>61</v>
      </c>
      <c r="C27" s="19">
        <v>5.8</v>
      </c>
      <c r="D27" t="s" s="18">
        <v>25</v>
      </c>
      <c r="E27" t="s" s="20">
        <v>36</v>
      </c>
      <c r="F27" s="19">
        <v>5.7</v>
      </c>
      <c r="G27" t="s" s="20">
        <v>36</v>
      </c>
      <c r="H27" s="19">
        <v>5.7</v>
      </c>
      <c r="I27" t="s" s="20">
        <f>IF(C27="","—",IF(AND(IF($C$2="Male",E27,G27)=0,IF($C$2="Male",F27,H27)=9999),"—",IF(C27&lt;IF($C$2="Male",E27,G27),"Low",IF(C27&gt;IF($C$2="Male",F27,H27),"High","Normal"))))</f>
        <v>37</v>
      </c>
      <c r="J27" t="s" s="20">
        <v>19</v>
      </c>
      <c r="K27" t="s" s="18">
        <v>62</v>
      </c>
    </row>
    <row r="28" ht="19.5" customHeight="1">
      <c r="A28" t="s" s="14">
        <v>63</v>
      </c>
      <c r="B28" t="s" s="14">
        <v>64</v>
      </c>
      <c r="C28" s="15">
        <v>2.1</v>
      </c>
      <c r="D28" t="s" s="14">
        <v>65</v>
      </c>
      <c r="E28" s="15">
        <v>0.4</v>
      </c>
      <c r="F28" s="15">
        <v>4</v>
      </c>
      <c r="G28" s="15">
        <v>0.4</v>
      </c>
      <c r="H28" s="15">
        <v>4</v>
      </c>
      <c r="I28" t="s" s="16">
        <f>IF(C28="","—",IF(AND(IF($C$2="Male",E28,G28)=0,IF($C$2="Male",F28,H28)=9999),"—",IF(C28&lt;IF($C$2="Male",E28,G28),"Low",IF(C28&gt;IF($C$2="Male",F28,H28),"High","Normal"))))</f>
        <v>18</v>
      </c>
      <c r="J28" t="s" s="16">
        <v>19</v>
      </c>
      <c r="K28" s="17"/>
    </row>
    <row r="29" ht="19.5" customHeight="1">
      <c r="A29" t="s" s="18">
        <v>66</v>
      </c>
      <c r="B29" t="s" s="18">
        <v>67</v>
      </c>
      <c r="C29" s="19">
        <v>28</v>
      </c>
      <c r="D29" t="s" s="18">
        <v>68</v>
      </c>
      <c r="E29" s="19">
        <v>7</v>
      </c>
      <c r="F29" s="19">
        <v>56</v>
      </c>
      <c r="G29" s="19">
        <v>7</v>
      </c>
      <c r="H29" s="19">
        <v>45</v>
      </c>
      <c r="I29" t="s" s="20">
        <f>IF(C29="","—",IF(AND(IF($C$2="Male",E29,G29)=0,IF($C$2="Male",F29,H29)=9999),"—",IF(C29&lt;IF($C$2="Male",E29,G29),"Low",IF(C29&gt;IF($C$2="Male",F29,H29),"High","Normal"))))</f>
        <v>18</v>
      </c>
      <c r="J29" t="s" s="20">
        <v>19</v>
      </c>
      <c r="K29" t="s" s="18">
        <v>69</v>
      </c>
    </row>
    <row r="30" ht="19.5" customHeight="1">
      <c r="A30" t="s" s="14">
        <v>70</v>
      </c>
      <c r="B30" t="s" s="14">
        <v>71</v>
      </c>
      <c r="C30" s="15">
        <v>118</v>
      </c>
      <c r="D30" t="s" s="14">
        <v>72</v>
      </c>
      <c r="E30" s="15">
        <v>90</v>
      </c>
      <c r="F30" s="15">
        <v>120</v>
      </c>
      <c r="G30" s="15">
        <v>90</v>
      </c>
      <c r="H30" s="15">
        <v>120</v>
      </c>
      <c r="I30" t="s" s="16">
        <f>IF(C30="","—",IF(AND(IF($C$2="Male",E30,G30)=0,IF($C$2="Male",F30,H30)=9999),"—",IF(C30&lt;IF($C$2="Male",E30,G30),"Low",IF(C30&gt;IF($C$2="Male",F30,H30),"High","Normal"))))</f>
        <v>18</v>
      </c>
      <c r="J30" t="s" s="16">
        <v>19</v>
      </c>
      <c r="K30" t="s" s="14">
        <v>73</v>
      </c>
    </row>
    <row r="31" ht="19.5" customHeight="1">
      <c r="A31" t="s" s="14">
        <v>70</v>
      </c>
      <c r="B31" t="s" s="14">
        <v>74</v>
      </c>
      <c r="C31" s="15">
        <v>76</v>
      </c>
      <c r="D31" t="s" s="14">
        <v>72</v>
      </c>
      <c r="E31" s="15">
        <v>60</v>
      </c>
      <c r="F31" s="15">
        <v>80</v>
      </c>
      <c r="G31" s="15">
        <v>60</v>
      </c>
      <c r="H31" s="15">
        <v>80</v>
      </c>
      <c r="I31" t="s" s="16">
        <f>IF(C31="","—",IF(AND(IF($C$2="Male",E31,G31)=0,IF($C$2="Male",F31,H31)=9999),"—",IF(C31&lt;IF($C$2="Male",E31,G31),"Low",IF(C31&gt;IF($C$2="Male",F31,H31),"High","Normal"))))</f>
        <v>18</v>
      </c>
      <c r="J31" t="s" s="16">
        <v>19</v>
      </c>
      <c r="K31" t="s" s="14">
        <v>75</v>
      </c>
    </row>
  </sheetData>
  <mergeCells count="3">
    <mergeCell ref="A1:K1"/>
    <mergeCell ref="A2:B2"/>
    <mergeCell ref="D2:K2"/>
  </mergeCells>
  <conditionalFormatting sqref="I5:I29">
    <cfRule type="containsText" dxfId="0" priority="1" stopIfTrue="1" text="Normal">
      <formula>NOT(ISERROR(FIND(UPPER("Normal"),UPPER(I5))))</formula>
      <formula>"Normal"</formula>
    </cfRule>
    <cfRule type="containsText" dxfId="1" priority="2" stopIfTrue="1" text="High">
      <formula>NOT(ISERROR(FIND(UPPER("High"),UPPER(I5))))</formula>
      <formula>"High"</formula>
    </cfRule>
    <cfRule type="containsText" dxfId="2" priority="3" stopIfTrue="1" text="Low">
      <formula>NOT(ISERROR(FIND(UPPER("Low"),UPPER(I5))))</formula>
      <formula>"Low"</formula>
    </cfRule>
    <cfRule type="containsText" dxfId="3" priority="4" stopIfTrue="1" text="Normal">
      <formula>NOT(ISERROR(FIND(UPPER("Normal"),UPPER(I5))))</formula>
      <formula>"Normal"</formula>
    </cfRule>
    <cfRule type="containsText" dxfId="4" priority="5" stopIfTrue="1" text="High">
      <formula>NOT(ISERROR(FIND(UPPER("High"),UPPER(I5))))</formula>
      <formula>"High"</formula>
    </cfRule>
    <cfRule type="containsText" dxfId="5" priority="6" stopIfTrue="1" text="Low">
      <formula>NOT(ISERROR(FIND(UPPER("Low"),UPPER(I5))))</formula>
      <formula>"Low"</formula>
    </cfRule>
  </conditionalFormatting>
  <conditionalFormatting sqref="I30:I31">
    <cfRule type="containsText" dxfId="6" priority="1" stopIfTrue="1" text="Normal">
      <formula>NOT(ISERROR(FIND(UPPER("Normal"),UPPER(I30))))</formula>
      <formula>"Normal"</formula>
    </cfRule>
    <cfRule type="containsText" dxfId="7" priority="2" stopIfTrue="1" text="High">
      <formula>NOT(ISERROR(FIND(UPPER("High"),UPPER(I30))))</formula>
      <formula>"High"</formula>
    </cfRule>
    <cfRule type="containsText" dxfId="8" priority="3" stopIfTrue="1" text="Low">
      <formula>NOT(ISERROR(FIND(UPPER("Low"),UPPER(I30))))</formula>
      <formula>"Low"</formula>
    </cfRule>
  </conditionalFormatting>
  <dataValidations count="1">
    <dataValidation type="list" allowBlank="1" showInputMessage="1" showErrorMessage="1" sqref="C2">
      <formula1>"Male,Female"</formula1>
    </dataValidation>
  </dataValidation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66667" defaultRowHeight="15" customHeight="1" outlineLevelRow="0" outlineLevelCol="0"/>
  <cols>
    <col min="1" max="1" width="32" style="22" customWidth="1"/>
    <col min="2" max="2" width="42" style="22" customWidth="1"/>
    <col min="3" max="3" width="38" style="22" customWidth="1"/>
    <col min="4" max="5" width="8.67188" style="22" customWidth="1"/>
    <col min="6" max="16384" width="8.67188" style="22" customWidth="1"/>
  </cols>
  <sheetData>
    <row r="1" ht="36" customHeight="1">
      <c r="A1" t="s" s="2">
        <v>76</v>
      </c>
      <c r="B1" s="3"/>
      <c r="C1" s="3"/>
      <c r="D1" s="23"/>
      <c r="E1" s="24"/>
    </row>
    <row r="2" ht="13.65" customHeight="1">
      <c r="A2" t="s" s="25">
        <v>77</v>
      </c>
      <c r="B2" t="s" s="25">
        <v>78</v>
      </c>
      <c r="C2" t="s" s="25">
        <v>79</v>
      </c>
      <c r="D2" s="26"/>
      <c r="E2" s="24"/>
    </row>
    <row r="3" ht="21.75" customHeight="1">
      <c r="A3" t="s" s="18">
        <v>80</v>
      </c>
      <c r="B3" t="s" s="18">
        <v>81</v>
      </c>
      <c r="C3" t="s" s="18">
        <v>82</v>
      </c>
      <c r="D3" s="26"/>
      <c r="E3" s="24"/>
    </row>
    <row r="4" ht="21.75" customHeight="1">
      <c r="A4" t="s" s="14">
        <v>83</v>
      </c>
      <c r="B4" t="s" s="14">
        <v>84</v>
      </c>
      <c r="C4" t="s" s="14">
        <v>85</v>
      </c>
      <c r="D4" s="26"/>
      <c r="E4" s="24"/>
    </row>
    <row r="5" ht="21.75" customHeight="1">
      <c r="A5" t="s" s="18">
        <v>86</v>
      </c>
      <c r="B5" t="s" s="18">
        <v>87</v>
      </c>
      <c r="C5" t="s" s="18">
        <v>88</v>
      </c>
      <c r="D5" s="26"/>
      <c r="E5" s="24"/>
    </row>
    <row r="6" ht="21.75" customHeight="1">
      <c r="A6" t="s" s="14">
        <v>89</v>
      </c>
      <c r="B6" t="s" s="14">
        <v>90</v>
      </c>
      <c r="C6" t="s" s="14">
        <v>91</v>
      </c>
      <c r="D6" s="26"/>
      <c r="E6" s="24"/>
    </row>
    <row r="7" ht="21.75" customHeight="1">
      <c r="A7" t="s" s="18">
        <v>92</v>
      </c>
      <c r="B7" t="s" s="18">
        <v>93</v>
      </c>
      <c r="C7" t="s" s="18">
        <v>94</v>
      </c>
      <c r="D7" s="26"/>
      <c r="E7" s="24"/>
    </row>
    <row r="8" ht="21.75" customHeight="1">
      <c r="A8" t="s" s="14">
        <v>95</v>
      </c>
      <c r="B8" t="s" s="14">
        <v>96</v>
      </c>
      <c r="C8" t="s" s="14">
        <v>97</v>
      </c>
      <c r="D8" s="26"/>
      <c r="E8" s="24"/>
    </row>
    <row r="9" ht="21.75" customHeight="1">
      <c r="A9" t="s" s="18">
        <v>98</v>
      </c>
      <c r="B9" t="s" s="18">
        <v>99</v>
      </c>
      <c r="C9" t="s" s="18">
        <v>100</v>
      </c>
      <c r="D9" s="26"/>
      <c r="E9" s="24"/>
    </row>
    <row r="10" ht="21.75" customHeight="1">
      <c r="A10" t="s" s="14">
        <v>101</v>
      </c>
      <c r="B10" t="s" s="14">
        <v>102</v>
      </c>
      <c r="C10" t="s" s="14">
        <v>103</v>
      </c>
      <c r="D10" s="26"/>
      <c r="E10" s="24"/>
    </row>
    <row r="11" ht="21.75" customHeight="1">
      <c r="A11" t="s" s="18">
        <v>104</v>
      </c>
      <c r="B11" t="s" s="18">
        <v>105</v>
      </c>
      <c r="C11" t="s" s="18">
        <v>106</v>
      </c>
      <c r="D11" s="26"/>
      <c r="E11" s="24"/>
    </row>
    <row r="12" ht="21.75" customHeight="1">
      <c r="A12" t="s" s="14">
        <v>107</v>
      </c>
      <c r="B12" t="s" s="14">
        <v>108</v>
      </c>
      <c r="C12" t="s" s="14">
        <v>109</v>
      </c>
      <c r="D12" s="26"/>
      <c r="E12" s="24"/>
    </row>
    <row r="13" ht="21.75" customHeight="1">
      <c r="A13" t="s" s="18">
        <v>110</v>
      </c>
      <c r="B13" t="s" s="18">
        <v>111</v>
      </c>
      <c r="C13" t="s" s="18">
        <v>112</v>
      </c>
      <c r="D13" s="26"/>
      <c r="E13" s="24"/>
    </row>
    <row r="14" ht="21.75" customHeight="1">
      <c r="A14" t="s" s="14">
        <v>113</v>
      </c>
      <c r="B14" t="s" s="14">
        <v>114</v>
      </c>
      <c r="C14" t="s" s="14">
        <v>115</v>
      </c>
      <c r="D14" s="26"/>
      <c r="E14" s="24"/>
    </row>
    <row r="15" ht="21.75" customHeight="1">
      <c r="A15" t="s" s="18">
        <v>116</v>
      </c>
      <c r="B15" t="s" s="18">
        <v>117</v>
      </c>
      <c r="C15" t="s" s="18">
        <v>118</v>
      </c>
      <c r="D15" s="26"/>
      <c r="E15" s="24"/>
    </row>
    <row r="16" ht="21.75" customHeight="1">
      <c r="A16" t="s" s="14">
        <v>119</v>
      </c>
      <c r="B16" t="s" s="14">
        <v>120</v>
      </c>
      <c r="C16" t="s" s="14">
        <v>121</v>
      </c>
      <c r="D16" s="26"/>
      <c r="E16" s="24"/>
    </row>
    <row r="17" ht="21.75" customHeight="1">
      <c r="A17" t="s" s="18">
        <v>122</v>
      </c>
      <c r="B17" t="s" s="18">
        <v>123</v>
      </c>
      <c r="C17" t="s" s="18">
        <v>124</v>
      </c>
      <c r="D17" s="26"/>
      <c r="E17" s="24"/>
    </row>
    <row r="18" ht="21.75" customHeight="1">
      <c r="A18" t="s" s="14">
        <v>125</v>
      </c>
      <c r="B18" t="s" s="14">
        <v>126</v>
      </c>
      <c r="C18" t="s" s="14">
        <v>127</v>
      </c>
      <c r="D18" s="26"/>
      <c r="E18" s="24"/>
    </row>
    <row r="19" ht="21.75" customHeight="1">
      <c r="A19" t="s" s="18">
        <v>128</v>
      </c>
      <c r="B19" t="s" s="18">
        <v>129</v>
      </c>
      <c r="C19" t="s" s="18">
        <v>130</v>
      </c>
      <c r="D19" s="26"/>
      <c r="E19" s="24"/>
    </row>
    <row r="20" ht="21.75" customHeight="1">
      <c r="A20" t="s" s="14">
        <v>131</v>
      </c>
      <c r="B20" t="s" s="14">
        <v>132</v>
      </c>
      <c r="C20" t="s" s="14">
        <v>133</v>
      </c>
      <c r="D20" s="26"/>
      <c r="E20" s="24"/>
    </row>
    <row r="21" ht="21.75" customHeight="1">
      <c r="A21" t="s" s="18">
        <v>134</v>
      </c>
      <c r="B21" t="s" s="18">
        <v>135</v>
      </c>
      <c r="C21" t="s" s="18">
        <v>124</v>
      </c>
      <c r="D21" s="26"/>
      <c r="E21" s="24"/>
    </row>
  </sheetData>
  <mergeCells count="1">
    <mergeCell ref="A1:C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