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 Results" sheetId="1" state="visible" r:id="rId3"/>
    <sheet name="Recommended Additional Te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<sst xmlns="http://schemas.openxmlformats.org/spreadsheetml/2006/main" count="212" uniqueCount="134">
  <si>
    <t xml:space="preserve">Lab Results — Shankar  |  Date: May 20, 2026  |  Sample Data</t>
  </si>
  <si>
    <t xml:space="preserve">Patient Sex (for Status range):</t>
  </si>
  <si>
    <t xml:space="preserve">Male</t>
  </si>
  <si>
    <t xml:space="preserve">← change to Male or Female</t>
  </si>
  <si>
    <t xml:space="preserve">Panel</t>
  </si>
  <si>
    <t xml:space="preserve">Test Name</t>
  </si>
  <si>
    <t xml:space="preserve">Result</t>
  </si>
  <si>
    <t xml:space="preserve">Unit</t>
  </si>
  <si>
    <t xml:space="preserve">Low ♂ (Male)</t>
  </si>
  <si>
    <t xml:space="preserve">High ♂ (Male)</t>
  </si>
  <si>
    <t xml:space="preserve">Low ♀ (Female)</t>
  </si>
  <si>
    <t xml:space="preserve">High ♀ (Female)</t>
  </si>
  <si>
    <t xml:space="preserve">Status</t>
  </si>
  <si>
    <t xml:space="preserve">Date</t>
  </si>
  <si>
    <t xml:space="preserve">Notes</t>
  </si>
  <si>
    <t xml:space="preserve">CBC &amp; Differential</t>
  </si>
  <si>
    <t xml:space="preserve">White Blood Cell (WBC)</t>
  </si>
  <si>
    <t xml:space="preserve">K/μL</t>
  </si>
  <si>
    <t xml:space="preserve">2026-05-20</t>
  </si>
  <si>
    <t xml:space="preserve">Red Blood Cell (RBC)</t>
  </si>
  <si>
    <t xml:space="preserve">M/μL</t>
  </si>
  <si>
    <t xml:space="preserve">Hemoglobin (Hgb)</t>
  </si>
  <si>
    <t xml:space="preserve">g/dL</t>
  </si>
  <si>
    <t xml:space="preserve">Hematocrit (Hct)</t>
  </si>
  <si>
    <t xml:space="preserve">%</t>
  </si>
  <si>
    <t xml:space="preserve">Mean Corpuscular Volume (MCV)</t>
  </si>
  <si>
    <t xml:space="preserve">fL</t>
  </si>
  <si>
    <t xml:space="preserve">MCH</t>
  </si>
  <si>
    <t xml:space="preserve">pg</t>
  </si>
  <si>
    <t xml:space="preserve">MCHC</t>
  </si>
  <si>
    <t xml:space="preserve">Platelets</t>
  </si>
  <si>
    <t xml:space="preserve">Neutrophils</t>
  </si>
  <si>
    <t xml:space="preserve">Lymphocytes</t>
  </si>
  <si>
    <t xml:space="preserve">Monocytes</t>
  </si>
  <si>
    <t xml:space="preserve">Eosinophils</t>
  </si>
  <si>
    <t xml:space="preserve">—</t>
  </si>
  <si>
    <t xml:space="preserve">Basophils</t>
  </si>
  <si>
    <t xml:space="preserve">Non-Fasting Lipid Panel</t>
  </si>
  <si>
    <t xml:space="preserve">Total Cholesterol</t>
  </si>
  <si>
    <t xml:space="preserve">mg/dL</t>
  </si>
  <si>
    <t xml:space="preserve">Desirable: &lt;200</t>
  </si>
  <si>
    <t xml:space="preserve">LDL Cholesterol</t>
  </si>
  <si>
    <t xml:space="preserve">Optimal &lt;100; Near-optimal 100–129</t>
  </si>
  <si>
    <t xml:space="preserve">HDL Cholesterol</t>
  </si>
  <si>
    <t xml:space="preserve">Higher is better; ♂&gt;40, ♀&gt;50; &gt;60=protective</t>
  </si>
  <si>
    <t xml:space="preserve">Triglycerides</t>
  </si>
  <si>
    <t xml:space="preserve">Non-fasting; &lt;150 normal</t>
  </si>
  <si>
    <t xml:space="preserve">Non-HDL Cholesterol</t>
  </si>
  <si>
    <t xml:space="preserve">Optimal &lt;130</t>
  </si>
  <si>
    <t xml:space="preserve">Creatinine &amp; eGFR</t>
  </si>
  <si>
    <t xml:space="preserve">Creatinine</t>
  </si>
  <si>
    <t xml:space="preserve">eGFR</t>
  </si>
  <si>
    <t xml:space="preserve">mL/min/1.73m²</t>
  </si>
  <si>
    <t xml:space="preserve">&gt;60 = normal kidney function</t>
  </si>
  <si>
    <t xml:space="preserve">Sodium</t>
  </si>
  <si>
    <t xml:space="preserve">Sodium (Na⁺)</t>
  </si>
  <si>
    <t xml:space="preserve">mEq/L</t>
  </si>
  <si>
    <t xml:space="preserve">Potassium</t>
  </si>
  <si>
    <t xml:space="preserve">Potassium (K⁺)</t>
  </si>
  <si>
    <t xml:space="preserve">Hemoglobin A1C</t>
  </si>
  <si>
    <t xml:space="preserve">Normal &lt;5.7%; Prediabetes 5.7–6.4%</t>
  </si>
  <si>
    <t xml:space="preserve">TSH</t>
  </si>
  <si>
    <t xml:space="preserve">Thyroid Stimulating Hormone (TSH)</t>
  </si>
  <si>
    <t xml:space="preserve">mIU/L</t>
  </si>
  <si>
    <t xml:space="preserve">ALT</t>
  </si>
  <si>
    <t xml:space="preserve">Alanine Aminotransferase (ALT)</t>
  </si>
  <si>
    <t xml:space="preserve">U/L</t>
  </si>
  <si>
    <t xml:space="preserve">Upper limit differs by sex</t>
  </si>
  <si>
    <t xml:space="preserve">Blood Pressure</t>
  </si>
  <si>
    <t xml:space="preserve">Systolic BP</t>
  </si>
  <si>
    <t xml:space="preserve">mmHg</t>
  </si>
  <si>
    <t xml:space="preserve">Normal &lt;120; Elevated 120–129; Stage 1 HTN 130–139</t>
  </si>
  <si>
    <t xml:space="preserve">Diastolic BP</t>
  </si>
  <si>
    <t xml:space="preserve">Normal &lt;80; Stage 1 HTN 80–89; Stage 2 ≥90</t>
  </si>
  <si>
    <t xml:space="preserve">Recommended Tests to Complete Your Panel</t>
  </si>
  <si>
    <t xml:space="preserve">Test</t>
  </si>
  <si>
    <t xml:space="preserve">Why It Matters</t>
  </si>
  <si>
    <t xml:space="preserve">Normal Range</t>
  </si>
  <si>
    <t xml:space="preserve">Fasting Glucose</t>
  </si>
  <si>
    <t xml:space="preserve">Diagnoses diabetes alongside HbA1c; HbA1c alone can miss acute changes</t>
  </si>
  <si>
    <t xml:space="preserve">70–99 mg/dL</t>
  </si>
  <si>
    <t xml:space="preserve">Blood Urea Nitrogen (BUN)</t>
  </si>
  <si>
    <t xml:space="preserve">Pairs with creatinine to assess kidney function &amp; hydration</t>
  </si>
  <si>
    <t xml:space="preserve">7–20 mg/dL</t>
  </si>
  <si>
    <t xml:space="preserve">BUN/Creatinine Ratio</t>
  </si>
  <si>
    <t xml:space="preserve">Helps distinguish pre-renal vs. renal cause of kidney impairment</t>
  </si>
  <si>
    <t xml:space="preserve">10–20</t>
  </si>
  <si>
    <t xml:space="preserve">AST (Aspartate Aminotransferase)</t>
  </si>
  <si>
    <t xml:space="preserve">Liver enzyme; should always be ordered with ALT for full liver picture</t>
  </si>
  <si>
    <t xml:space="preserve">10–40 U/L (♂); 10–35 U/L (♀)</t>
  </si>
  <si>
    <t xml:space="preserve">Alkaline Phosphatase (ALP)</t>
  </si>
  <si>
    <t xml:space="preserve">Liver/bile duct &amp; bone health marker</t>
  </si>
  <si>
    <t xml:space="preserve">44–147 U/L</t>
  </si>
  <si>
    <t xml:space="preserve">Total Bilirubin</t>
  </si>
  <si>
    <t xml:space="preserve">Detects liver disease, bile duct obstruction, hemolysis</t>
  </si>
  <si>
    <t xml:space="preserve">0.2–1.2 mg/dL</t>
  </si>
  <si>
    <t xml:space="preserve">Albumin</t>
  </si>
  <si>
    <t xml:space="preserve">Nutritional status &amp; liver synthetic function</t>
  </si>
  <si>
    <t xml:space="preserve">3.5–5.0 g/dL</t>
  </si>
  <si>
    <t xml:space="preserve">Calcium</t>
  </si>
  <si>
    <t xml:space="preserve">Bone, kidney, and parathyroid health</t>
  </si>
  <si>
    <t xml:space="preserve">8.6–10.3 mg/dL</t>
  </si>
  <si>
    <t xml:space="preserve">Magnesium</t>
  </si>
  <si>
    <t xml:space="preserve">Muscle/nerve function; often low with poor diet or certain meds</t>
  </si>
  <si>
    <t xml:space="preserve">1.7–2.2 mg/dL</t>
  </si>
  <si>
    <t xml:space="preserve">Chloride</t>
  </si>
  <si>
    <t xml:space="preserve">Electrolyte balance; part of basic metabolic panel</t>
  </si>
  <si>
    <t xml:space="preserve">98–107 mEq/L</t>
  </si>
  <si>
    <t xml:space="preserve">CO₂ / Bicarbonate</t>
  </si>
  <si>
    <t xml:space="preserve">Acid-base balance; flags metabolic acidosis/alkalosis</t>
  </si>
  <si>
    <t xml:space="preserve">22–29 mEq/L</t>
  </si>
  <si>
    <t xml:space="preserve">Vitamin D (25-OH)</t>
  </si>
  <si>
    <t xml:space="preserve">Very commonly deficient; affects bone, immune, and cardiovascular health</t>
  </si>
  <si>
    <t xml:space="preserve">30–100 ng/mL</t>
  </si>
  <si>
    <t xml:space="preserve">Vitamin B12</t>
  </si>
  <si>
    <t xml:space="preserve">Neurological function; deficiency can mimic dementia or neuropathy</t>
  </si>
  <si>
    <t xml:space="preserve">200–900 pg/mL</t>
  </si>
  <si>
    <t xml:space="preserve">Ferritin</t>
  </si>
  <si>
    <t xml:space="preserve">Best single marker of iron stores; low=iron deficiency, high=inflammation</t>
  </si>
  <si>
    <t xml:space="preserve">30–400 ng/mL (♂); 12–150 ng/mL (♀)</t>
  </si>
  <si>
    <t xml:space="preserve">Serum Iron + TIBC</t>
  </si>
  <si>
    <t xml:space="preserve">Complete iron panel to evaluate anemia type</t>
  </si>
  <si>
    <t xml:space="preserve">Varies</t>
  </si>
  <si>
    <t xml:space="preserve">hs-CRP</t>
  </si>
  <si>
    <t xml:space="preserve">High-sensitivity inflammation marker; cardiovascular risk stratification</t>
  </si>
  <si>
    <t xml:space="preserve">&lt;1.0 mg/L low risk</t>
  </si>
  <si>
    <t xml:space="preserve">Uric Acid</t>
  </si>
  <si>
    <t xml:space="preserve">Gout risk; elevated with high-purine diet or kidney issues</t>
  </si>
  <si>
    <t xml:space="preserve">3.5–7.2 mg/dL (♂); 2.6–6.0 mg/dL (♀)</t>
  </si>
  <si>
    <t xml:space="preserve">PSA (if male ≥40–50)</t>
  </si>
  <si>
    <t xml:space="preserve">Prostate cancer screening; discuss timing with physician</t>
  </si>
  <si>
    <t xml:space="preserve">&lt;4.0 ng/mL</t>
  </si>
  <si>
    <t xml:space="preserve">Urinalysis (UA)</t>
  </si>
  <si>
    <t xml:space="preserve">Screens kidneys, bladder, UTI, and glucose spill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</si>
</sst>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2F4F"/>
        <bgColor rgb="FF333333"/>
      </patternFill>
    </fill>
    <fill>
      <patternFill patternType="solid">
        <fgColor rgb="FFD6E4F0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D2F4F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276221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F4F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3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">
        <v>1</v>
      </c>
      <c r="B2" s="2"/>
      <c r="C2" s="3" t="s">
        <v>2</v>
      </c>
      <c r="D2" s="4" t="s">
        <v>3</v>
      </c>
      <c r="E2" s="4"/>
      <c r="F2" s="4"/>
      <c r="G2" s="4"/>
      <c r="H2" s="4"/>
      <c r="I2" s="4"/>
      <c r="J2" s="4"/>
      <c r="K2" s="4"/>
    </row>
    <row r="3" customFormat="false" ht="6" hidden="false" customHeight="true" outlineLevel="0" collapsed="false"/>
    <row r="4" customFormat="false" ht="27.75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</row>
    <row r="5" customFormat="false" ht="19.5" hidden="false" customHeight="true" outlineLevel="0" collapsed="false">
      <c r="A5" s="6" t="s">
        <v>15</v>
      </c>
      <c r="B5" s="6" t="s">
        <v>16</v>
      </c>
      <c r="C5" s="7" t="n">
        <v>7.2</v>
      </c>
      <c r="D5" s="6" t="s">
        <v>17</v>
      </c>
      <c r="E5" s="8" t="n">
        <v>4.5</v>
      </c>
      <c r="F5" s="8" t="n">
        <v>11</v>
      </c>
      <c r="G5" s="8" t="n">
        <v>4.5</v>
      </c>
      <c r="H5" s="8" t="n">
        <v>11</v>
      </c>
      <c r="I5" s="8" t="str">
        <f aca="false">IF(C5="","—",IF(AND(IF($C$2="Male",E5,G5)=0,IF($C$2="Male",F5,H5)=9999),"—",IF(C5&lt;IF($C$2="Male",E5,G5),"Low",IF(C5&gt;IF($C$2="Male",F5,H5),"High","Normal"))))</f>
        <v>Normal</v>
      </c>
      <c r="J5" s="8" t="s">
        <v>18</v>
      </c>
      <c r="K5" s="6"/>
    </row>
    <row r="6" customFormat="false" ht="19.5" hidden="false" customHeight="true" outlineLevel="0" collapsed="false">
      <c r="A6" s="6" t="s">
        <v>15</v>
      </c>
      <c r="B6" s="6" t="s">
        <v>19</v>
      </c>
      <c r="C6" s="7" t="n">
        <v>4.8</v>
      </c>
      <c r="D6" s="6" t="s">
        <v>20</v>
      </c>
      <c r="E6" s="8" t="n">
        <v>4.7</v>
      </c>
      <c r="F6" s="8" t="n">
        <v>6.1</v>
      </c>
      <c r="G6" s="8" t="n">
        <v>4.2</v>
      </c>
      <c r="H6" s="8" t="n">
        <v>5.4</v>
      </c>
      <c r="I6" s="8" t="str">
        <f aca="false">IF(C6="","—",IF(AND(IF($C$2="Male",E6,G6)=0,IF($C$2="Male",F6,H6)=9999),"—",IF(C6&lt;IF($C$2="Male",E6,G6),"Low",IF(C6&gt;IF($C$2="Male",F6,H6),"High","Normal"))))</f>
        <v>Normal</v>
      </c>
      <c r="J6" s="8" t="s">
        <v>18</v>
      </c>
      <c r="K6" s="6"/>
    </row>
    <row r="7" customFormat="false" ht="19.5" hidden="false" customHeight="true" outlineLevel="0" collapsed="false">
      <c r="A7" s="6" t="s">
        <v>15</v>
      </c>
      <c r="B7" s="6" t="s">
        <v>21</v>
      </c>
      <c r="C7" s="7" t="n">
        <v>14.5</v>
      </c>
      <c r="D7" s="6" t="s">
        <v>22</v>
      </c>
      <c r="E7" s="8" t="n">
        <v>13.5</v>
      </c>
      <c r="F7" s="8" t="n">
        <v>17.5</v>
      </c>
      <c r="G7" s="8" t="n">
        <v>12</v>
      </c>
      <c r="H7" s="8" t="n">
        <v>15.5</v>
      </c>
      <c r="I7" s="8" t="str">
        <f aca="false">IF(C7="","—",IF(AND(IF($C$2="Male",E7,G7)=0,IF($C$2="Male",F7,H7)=9999),"—",IF(C7&lt;IF($C$2="Male",E7,G7),"Low",IF(C7&gt;IF($C$2="Male",F7,H7),"High","Normal"))))</f>
        <v>Normal</v>
      </c>
      <c r="J7" s="8" t="s">
        <v>18</v>
      </c>
      <c r="K7" s="6"/>
    </row>
    <row r="8" customFormat="false" ht="19.5" hidden="false" customHeight="true" outlineLevel="0" collapsed="false">
      <c r="A8" s="6" t="s">
        <v>15</v>
      </c>
      <c r="B8" s="6" t="s">
        <v>23</v>
      </c>
      <c r="C8" s="7" t="n">
        <v>43</v>
      </c>
      <c r="D8" s="6" t="s">
        <v>24</v>
      </c>
      <c r="E8" s="8" t="n">
        <v>41</v>
      </c>
      <c r="F8" s="8" t="n">
        <v>53</v>
      </c>
      <c r="G8" s="8" t="n">
        <v>36</v>
      </c>
      <c r="H8" s="8" t="n">
        <v>46</v>
      </c>
      <c r="I8" s="8" t="str">
        <f aca="false">IF(C8="","—",IF(AND(IF($C$2="Male",E8,G8)=0,IF($C$2="Male",F8,H8)=9999),"—",IF(C8&lt;IF($C$2="Male",E8,G8),"Low",IF(C8&gt;IF($C$2="Male",F8,H8),"High","Normal"))))</f>
        <v>Normal</v>
      </c>
      <c r="J8" s="8" t="s">
        <v>18</v>
      </c>
      <c r="K8" s="6"/>
    </row>
    <row r="9" customFormat="false" ht="19.5" hidden="false" customHeight="true" outlineLevel="0" collapsed="false">
      <c r="A9" s="6" t="s">
        <v>15</v>
      </c>
      <c r="B9" s="6" t="s">
        <v>25</v>
      </c>
      <c r="C9" s="7" t="n">
        <v>88</v>
      </c>
      <c r="D9" s="6" t="s">
        <v>26</v>
      </c>
      <c r="E9" s="8" t="n">
        <v>80</v>
      </c>
      <c r="F9" s="8" t="n">
        <v>100</v>
      </c>
      <c r="G9" s="8" t="n">
        <v>80</v>
      </c>
      <c r="H9" s="8" t="n">
        <v>100</v>
      </c>
      <c r="I9" s="8" t="str">
        <f aca="false">IF(C9="","—",IF(AND(IF($C$2="Male",E9,G9)=0,IF($C$2="Male",F9,H9)=9999),"—",IF(C9&lt;IF($C$2="Male",E9,G9),"Low",IF(C9&gt;IF($C$2="Male",F9,H9),"High","Normal"))))</f>
        <v>Normal</v>
      </c>
      <c r="J9" s="8" t="s">
        <v>18</v>
      </c>
      <c r="K9" s="6"/>
    </row>
    <row r="10" customFormat="false" ht="19.5" hidden="false" customHeight="true" outlineLevel="0" collapsed="false">
      <c r="A10" s="6" t="s">
        <v>15</v>
      </c>
      <c r="B10" s="6" t="s">
        <v>27</v>
      </c>
      <c r="C10" s="7" t="n">
        <v>29</v>
      </c>
      <c r="D10" s="6" t="s">
        <v>28</v>
      </c>
      <c r="E10" s="8" t="n">
        <v>27</v>
      </c>
      <c r="F10" s="8" t="n">
        <v>33</v>
      </c>
      <c r="G10" s="8" t="n">
        <v>27</v>
      </c>
      <c r="H10" s="8" t="n">
        <v>33</v>
      </c>
      <c r="I10" s="8" t="str">
        <f aca="false">IF(C10="","—",IF(AND(IF($C$2="Male",E10,G10)=0,IF($C$2="Male",F10,H10)=9999),"—",IF(C10&lt;IF($C$2="Male",E10,G10),"Low",IF(C10&gt;IF($C$2="Male",F10,H10),"High","Normal"))))</f>
        <v>Normal</v>
      </c>
      <c r="J10" s="8" t="s">
        <v>18</v>
      </c>
      <c r="K10" s="6"/>
    </row>
    <row r="11" customFormat="false" ht="19.5" hidden="false" customHeight="true" outlineLevel="0" collapsed="false">
      <c r="A11" s="6" t="s">
        <v>15</v>
      </c>
      <c r="B11" s="6" t="s">
        <v>29</v>
      </c>
      <c r="C11" s="7" t="n">
        <v>33.5</v>
      </c>
      <c r="D11" s="6" t="s">
        <v>22</v>
      </c>
      <c r="E11" s="8" t="n">
        <v>32</v>
      </c>
      <c r="F11" s="8" t="n">
        <v>36</v>
      </c>
      <c r="G11" s="8" t="n">
        <v>32</v>
      </c>
      <c r="H11" s="8" t="n">
        <v>36</v>
      </c>
      <c r="I11" s="8" t="str">
        <f aca="false">IF(C11="","—",IF(AND(IF($C$2="Male",E11,G11)=0,IF($C$2="Male",F11,H11)=9999),"—",IF(C11&lt;IF($C$2="Male",E11,G11),"Low",IF(C11&gt;IF($C$2="Male",F11,H11),"High","Normal"))))</f>
        <v>Normal</v>
      </c>
      <c r="J11" s="8" t="s">
        <v>18</v>
      </c>
      <c r="K11" s="6"/>
    </row>
    <row r="12" customFormat="false" ht="19.5" hidden="false" customHeight="true" outlineLevel="0" collapsed="false">
      <c r="A12" s="6" t="s">
        <v>15</v>
      </c>
      <c r="B12" s="6" t="s">
        <v>30</v>
      </c>
      <c r="C12" s="7" t="n">
        <v>245</v>
      </c>
      <c r="D12" s="6" t="s">
        <v>17</v>
      </c>
      <c r="E12" s="8" t="n">
        <v>150</v>
      </c>
      <c r="F12" s="8" t="n">
        <v>400</v>
      </c>
      <c r="G12" s="8" t="n">
        <v>150</v>
      </c>
      <c r="H12" s="8" t="n">
        <v>400</v>
      </c>
      <c r="I12" s="8" t="str">
        <f aca="false">IF(C12="","—",IF(AND(IF($C$2="Male",E12,G12)=0,IF($C$2="Male",F12,H12)=9999),"—",IF(C12&lt;IF($C$2="Male",E12,G12),"Low",IF(C12&gt;IF($C$2="Male",F12,H12),"High","Normal"))))</f>
        <v>Normal</v>
      </c>
      <c r="J12" s="8" t="s">
        <v>18</v>
      </c>
      <c r="K12" s="6"/>
    </row>
    <row r="13" customFormat="false" ht="19.5" hidden="false" customHeight="true" outlineLevel="0" collapsed="false">
      <c r="A13" s="6" t="s">
        <v>15</v>
      </c>
      <c r="B13" s="6" t="s">
        <v>31</v>
      </c>
      <c r="C13" s="7" t="n">
        <v>58</v>
      </c>
      <c r="D13" s="6" t="s">
        <v>24</v>
      </c>
      <c r="E13" s="8" t="n">
        <v>45</v>
      </c>
      <c r="F13" s="8" t="n">
        <v>75</v>
      </c>
      <c r="G13" s="8" t="n">
        <v>45</v>
      </c>
      <c r="H13" s="8" t="n">
        <v>75</v>
      </c>
      <c r="I13" s="8" t="str">
        <f aca="false">IF(C13="","—",IF(AND(IF($C$2="Male",E13,G13)=0,IF($C$2="Male",F13,H13)=9999),"—",IF(C13&lt;IF($C$2="Male",E13,G13),"Low",IF(C13&gt;IF($C$2="Male",F13,H13),"High","Normal"))))</f>
        <v>Normal</v>
      </c>
      <c r="J13" s="8" t="s">
        <v>18</v>
      </c>
      <c r="K13" s="6"/>
    </row>
    <row r="14" customFormat="false" ht="19.5" hidden="false" customHeight="true" outlineLevel="0" collapsed="false">
      <c r="A14" s="6" t="s">
        <v>15</v>
      </c>
      <c r="B14" s="6" t="s">
        <v>32</v>
      </c>
      <c r="C14" s="7" t="n">
        <v>32</v>
      </c>
      <c r="D14" s="6" t="s">
        <v>24</v>
      </c>
      <c r="E14" s="8" t="n">
        <v>20</v>
      </c>
      <c r="F14" s="8" t="n">
        <v>45</v>
      </c>
      <c r="G14" s="8" t="n">
        <v>20</v>
      </c>
      <c r="H14" s="8" t="n">
        <v>45</v>
      </c>
      <c r="I14" s="8" t="str">
        <f aca="false">IF(C14="","—",IF(AND(IF($C$2="Male",E14,G14)=0,IF($C$2="Male",F14,H14)=9999),"—",IF(C14&lt;IF($C$2="Male",E14,G14),"Low",IF(C14&gt;IF($C$2="Male",F14,H14),"High","Normal"))))</f>
        <v>Normal</v>
      </c>
      <c r="J14" s="8" t="s">
        <v>18</v>
      </c>
      <c r="K14" s="6"/>
    </row>
    <row r="15" customFormat="false" ht="19.5" hidden="false" customHeight="true" outlineLevel="0" collapsed="false">
      <c r="A15" s="6" t="s">
        <v>15</v>
      </c>
      <c r="B15" s="6" t="s">
        <v>33</v>
      </c>
      <c r="C15" s="7" t="n">
        <v>7</v>
      </c>
      <c r="D15" s="6" t="s">
        <v>24</v>
      </c>
      <c r="E15" s="8" t="n">
        <v>2</v>
      </c>
      <c r="F15" s="8" t="n">
        <v>10</v>
      </c>
      <c r="G15" s="8" t="n">
        <v>2</v>
      </c>
      <c r="H15" s="8" t="n">
        <v>10</v>
      </c>
      <c r="I15" s="8" t="str">
        <f aca="false">IF(C15="","—",IF(AND(IF($C$2="Male",E15,G15)=0,IF($C$2="Male",F15,H15)=9999),"—",IF(C15&lt;IF($C$2="Male",E15,G15),"Low",IF(C15&gt;IF($C$2="Male",F15,H15),"High","Normal"))))</f>
        <v>Normal</v>
      </c>
      <c r="J15" s="8" t="s">
        <v>18</v>
      </c>
      <c r="K15" s="6"/>
    </row>
    <row r="16" customFormat="false" ht="19.5" hidden="false" customHeight="true" outlineLevel="0" collapsed="false">
      <c r="A16" s="6" t="s">
        <v>15</v>
      </c>
      <c r="B16" s="6" t="s">
        <v>34</v>
      </c>
      <c r="C16" s="7" t="n">
        <v>2</v>
      </c>
      <c r="D16" s="6" t="s">
        <v>24</v>
      </c>
      <c r="E16" s="8" t="s">
        <v>35</v>
      </c>
      <c r="F16" s="8" t="n">
        <v>6</v>
      </c>
      <c r="G16" s="8" t="s">
        <v>35</v>
      </c>
      <c r="H16" s="8" t="n">
        <v>6</v>
      </c>
      <c r="I16" s="8" t="str">
        <f aca="false">IF(C16="","—",IF(AND(IF($C$2="Male",E16,G16)=0,IF($C$2="Male",F16,H16)=9999),"—",IF(C16&lt;IF($C$2="Male",E16,G16),"Low",IF(C16&gt;IF($C$2="Male",F16,H16),"High","Normal"))))</f>
        <v>Low</v>
      </c>
      <c r="J16" s="8" t="s">
        <v>18</v>
      </c>
      <c r="K16" s="6"/>
    </row>
    <row r="17" customFormat="false" ht="19.5" hidden="false" customHeight="true" outlineLevel="0" collapsed="false">
      <c r="A17" s="6" t="s">
        <v>15</v>
      </c>
      <c r="B17" s="6" t="s">
        <v>36</v>
      </c>
      <c r="C17" s="7" t="n">
        <v>1</v>
      </c>
      <c r="D17" s="6" t="s">
        <v>24</v>
      </c>
      <c r="E17" s="8" t="s">
        <v>35</v>
      </c>
      <c r="F17" s="8" t="n">
        <v>2</v>
      </c>
      <c r="G17" s="8" t="s">
        <v>35</v>
      </c>
      <c r="H17" s="8" t="n">
        <v>2</v>
      </c>
      <c r="I17" s="8" t="str">
        <f aca="false">IF(C17="","—",IF(AND(IF($C$2="Male",E17,G17)=0,IF($C$2="Male",F17,H17)=9999),"—",IF(C17&lt;IF($C$2="Male",E17,G17),"Low",IF(C17&gt;IF($C$2="Male",F17,H17),"High","Normal"))))</f>
        <v>Low</v>
      </c>
      <c r="J17" s="8" t="s">
        <v>18</v>
      </c>
      <c r="K17" s="6"/>
    </row>
    <row r="18" customFormat="false" ht="19.5" hidden="false" customHeight="true" outlineLevel="0" collapsed="false">
      <c r="A18" s="9" t="s">
        <v>37</v>
      </c>
      <c r="B18" s="9" t="s">
        <v>38</v>
      </c>
      <c r="C18" s="10" t="n">
        <v>195</v>
      </c>
      <c r="D18" s="9" t="s">
        <v>39</v>
      </c>
      <c r="E18" s="11" t="s">
        <v>35</v>
      </c>
      <c r="F18" s="11" t="n">
        <v>200</v>
      </c>
      <c r="G18" s="11" t="s">
        <v>35</v>
      </c>
      <c r="H18" s="11" t="n">
        <v>200</v>
      </c>
      <c r="I18" s="11" t="str">
        <f aca="false">IF(C18="","—",IF(AND(IF($C$2="Male",E18,G18)=0,IF($C$2="Male",F18,H18)=9999),"—",IF(C18&lt;IF($C$2="Male",E18,G18),"Low",IF(C18&gt;IF($C$2="Male",F18,H18),"High","Normal"))))</f>
        <v>Low</v>
      </c>
      <c r="J18" s="11" t="s">
        <v>18</v>
      </c>
      <c r="K18" s="9" t="s">
        <v>40</v>
      </c>
    </row>
    <row r="19" customFormat="false" ht="19.5" hidden="false" customHeight="true" outlineLevel="0" collapsed="false">
      <c r="A19" s="9" t="s">
        <v>37</v>
      </c>
      <c r="B19" s="9" t="s">
        <v>41</v>
      </c>
      <c r="C19" s="10" t="n">
        <v>118</v>
      </c>
      <c r="D19" s="9" t="s">
        <v>39</v>
      </c>
      <c r="E19" s="11" t="s">
        <v>35</v>
      </c>
      <c r="F19" s="11" t="n">
        <v>100</v>
      </c>
      <c r="G19" s="11" t="s">
        <v>35</v>
      </c>
      <c r="H19" s="11" t="n">
        <v>100</v>
      </c>
      <c r="I19" s="11" t="str">
        <f aca="false">IF(C19="","—",IF(AND(IF($C$2="Male",E19,G19)=0,IF($C$2="Male",F19,H19)=9999),"—",IF(C19&lt;IF($C$2="Male",E19,G19),"Low",IF(C19&gt;IF($C$2="Male",F19,H19),"High","Normal"))))</f>
        <v>Low</v>
      </c>
      <c r="J19" s="11" t="s">
        <v>18</v>
      </c>
      <c r="K19" s="9" t="s">
        <v>42</v>
      </c>
    </row>
    <row r="20" customFormat="false" ht="19.5" hidden="false" customHeight="true" outlineLevel="0" collapsed="false">
      <c r="A20" s="9" t="s">
        <v>37</v>
      </c>
      <c r="B20" s="9" t="s">
        <v>43</v>
      </c>
      <c r="C20" s="10" t="n">
        <v>52</v>
      </c>
      <c r="D20" s="9" t="s">
        <v>39</v>
      </c>
      <c r="E20" s="11" t="n">
        <v>40</v>
      </c>
      <c r="F20" s="11" t="s">
        <v>35</v>
      </c>
      <c r="G20" s="11" t="n">
        <v>50</v>
      </c>
      <c r="H20" s="11" t="s">
        <v>35</v>
      </c>
      <c r="I20" s="11" t="str">
        <f aca="false">IF(C20="","—",IF(AND(IF($C$2="Male",E20,G20)=0,IF($C$2="Male",F20,H20)=9999),"—",IF(C20&lt;IF($C$2="Male",E20,G20),"Low",IF(C20&gt;IF($C$2="Male",F20,H20),"High","Normal"))))</f>
        <v>Normal</v>
      </c>
      <c r="J20" s="11" t="s">
        <v>18</v>
      </c>
      <c r="K20" s="9" t="s">
        <v>44</v>
      </c>
    </row>
    <row r="21" customFormat="false" ht="19.5" hidden="false" customHeight="true" outlineLevel="0" collapsed="false">
      <c r="A21" s="9" t="s">
        <v>37</v>
      </c>
      <c r="B21" s="9" t="s">
        <v>45</v>
      </c>
      <c r="C21" s="10" t="n">
        <v>145</v>
      </c>
      <c r="D21" s="9" t="s">
        <v>39</v>
      </c>
      <c r="E21" s="11" t="s">
        <v>35</v>
      </c>
      <c r="F21" s="11" t="n">
        <v>150</v>
      </c>
      <c r="G21" s="11" t="s">
        <v>35</v>
      </c>
      <c r="H21" s="11" t="n">
        <v>150</v>
      </c>
      <c r="I21" s="11" t="str">
        <f aca="false">IF(C21="","—",IF(AND(IF($C$2="Male",E21,G21)=0,IF($C$2="Male",F21,H21)=9999),"—",IF(C21&lt;IF($C$2="Male",E21,G21),"Low",IF(C21&gt;IF($C$2="Male",F21,H21),"High","Normal"))))</f>
        <v>Low</v>
      </c>
      <c r="J21" s="11" t="s">
        <v>18</v>
      </c>
      <c r="K21" s="9" t="s">
        <v>46</v>
      </c>
    </row>
    <row r="22" customFormat="false" ht="19.5" hidden="false" customHeight="true" outlineLevel="0" collapsed="false">
      <c r="A22" s="9" t="s">
        <v>37</v>
      </c>
      <c r="B22" s="9" t="s">
        <v>47</v>
      </c>
      <c r="C22" s="10" t="n">
        <v>143</v>
      </c>
      <c r="D22" s="9" t="s">
        <v>39</v>
      </c>
      <c r="E22" s="11" t="s">
        <v>35</v>
      </c>
      <c r="F22" s="11" t="n">
        <v>130</v>
      </c>
      <c r="G22" s="11" t="s">
        <v>35</v>
      </c>
      <c r="H22" s="11" t="n">
        <v>130</v>
      </c>
      <c r="I22" s="11" t="str">
        <f aca="false">IF(C22="","—",IF(AND(IF($C$2="Male",E22,G22)=0,IF($C$2="Male",F22,H22)=9999),"—",IF(C22&lt;IF($C$2="Male",E22,G22),"Low",IF(C22&gt;IF($C$2="Male",F22,H22),"High","Normal"))))</f>
        <v>Low</v>
      </c>
      <c r="J22" s="11" t="s">
        <v>18</v>
      </c>
      <c r="K22" s="9" t="s">
        <v>48</v>
      </c>
    </row>
    <row r="23" customFormat="false" ht="19.5" hidden="false" customHeight="true" outlineLevel="0" collapsed="false">
      <c r="A23" s="6" t="s">
        <v>49</v>
      </c>
      <c r="B23" s="6" t="s">
        <v>50</v>
      </c>
      <c r="C23" s="7" t="n">
        <v>1</v>
      </c>
      <c r="D23" s="6" t="s">
        <v>39</v>
      </c>
      <c r="E23" s="8" t="n">
        <v>0.7</v>
      </c>
      <c r="F23" s="8" t="n">
        <v>1.3</v>
      </c>
      <c r="G23" s="8" t="n">
        <v>0.6</v>
      </c>
      <c r="H23" s="8" t="n">
        <v>1.1</v>
      </c>
      <c r="I23" s="8" t="str">
        <f aca="false">IF(C23="","—",IF(AND(IF($C$2="Male",E23,G23)=0,IF($C$2="Male",F23,H23)=9999),"—",IF(C23&lt;IF($C$2="Male",E23,G23),"Low",IF(C23&gt;IF($C$2="Male",F23,H23),"High","Normal"))))</f>
        <v>Normal</v>
      </c>
      <c r="J23" s="8" t="s">
        <v>18</v>
      </c>
      <c r="K23" s="6"/>
    </row>
    <row r="24" customFormat="false" ht="19.5" hidden="false" customHeight="true" outlineLevel="0" collapsed="false">
      <c r="A24" s="6" t="s">
        <v>49</v>
      </c>
      <c r="B24" s="6" t="s">
        <v>51</v>
      </c>
      <c r="C24" s="7" t="n">
        <v>82</v>
      </c>
      <c r="D24" s="6" t="s">
        <v>52</v>
      </c>
      <c r="E24" s="8" t="n">
        <v>60</v>
      </c>
      <c r="F24" s="8" t="s">
        <v>35</v>
      </c>
      <c r="G24" s="8" t="n">
        <v>60</v>
      </c>
      <c r="H24" s="8" t="s">
        <v>35</v>
      </c>
      <c r="I24" s="8" t="str">
        <f aca="false">IF(C24="","—",IF(AND(IF($C$2="Male",E24,G24)=0,IF($C$2="Male",F24,H24)=9999),"—",IF(C24&lt;IF($C$2="Male",E24,G24),"Low",IF(C24&gt;IF($C$2="Male",F24,H24),"High","Normal"))))</f>
        <v>Normal</v>
      </c>
      <c r="J24" s="8" t="s">
        <v>18</v>
      </c>
      <c r="K24" s="6" t="s">
        <v>53</v>
      </c>
    </row>
    <row r="25" customFormat="false" ht="19.5" hidden="false" customHeight="true" outlineLevel="0" collapsed="false">
      <c r="A25" s="9" t="s">
        <v>54</v>
      </c>
      <c r="B25" s="9" t="s">
        <v>55</v>
      </c>
      <c r="C25" s="10" t="n">
        <v>140</v>
      </c>
      <c r="D25" s="9" t="s">
        <v>56</v>
      </c>
      <c r="E25" s="11" t="n">
        <v>136</v>
      </c>
      <c r="F25" s="11" t="n">
        <v>145</v>
      </c>
      <c r="G25" s="11" t="n">
        <v>136</v>
      </c>
      <c r="H25" s="11" t="n">
        <v>145</v>
      </c>
      <c r="I25" s="11" t="str">
        <f aca="false">IF(C25="","—",IF(AND(IF($C$2="Male",E25,G25)=0,IF($C$2="Male",F25,H25)=9999),"—",IF(C25&lt;IF($C$2="Male",E25,G25),"Low",IF(C25&gt;IF($C$2="Male",F25,H25),"High","Normal"))))</f>
        <v>Normal</v>
      </c>
      <c r="J25" s="11" t="s">
        <v>18</v>
      </c>
      <c r="K25" s="9"/>
    </row>
    <row r="26" customFormat="false" ht="19.5" hidden="false" customHeight="true" outlineLevel="0" collapsed="false">
      <c r="A26" s="6" t="s">
        <v>57</v>
      </c>
      <c r="B26" s="6" t="s">
        <v>58</v>
      </c>
      <c r="C26" s="7" t="n">
        <v>4.2</v>
      </c>
      <c r="D26" s="6" t="s">
        <v>56</v>
      </c>
      <c r="E26" s="8" t="n">
        <v>3.5</v>
      </c>
      <c r="F26" s="8" t="n">
        <v>5.1</v>
      </c>
      <c r="G26" s="8" t="n">
        <v>3.5</v>
      </c>
      <c r="H26" s="8" t="n">
        <v>5.1</v>
      </c>
      <c r="I26" s="8" t="str">
        <f aca="false">IF(C26="","—",IF(AND(IF($C$2="Male",E26,G26)=0,IF($C$2="Male",F26,H26)=9999),"—",IF(C26&lt;IF($C$2="Male",E26,G26),"Low",IF(C26&gt;IF($C$2="Male",F26,H26),"High","Normal"))))</f>
        <v>Normal</v>
      </c>
      <c r="J26" s="8" t="s">
        <v>18</v>
      </c>
      <c r="K26" s="6"/>
    </row>
    <row r="27" customFormat="false" ht="19.5" hidden="false" customHeight="true" outlineLevel="0" collapsed="false">
      <c r="A27" s="9" t="s">
        <v>59</v>
      </c>
      <c r="B27" s="9" t="s">
        <v>59</v>
      </c>
      <c r="C27" s="10" t="n">
        <v>5.8</v>
      </c>
      <c r="D27" s="9" t="s">
        <v>24</v>
      </c>
      <c r="E27" s="11" t="s">
        <v>35</v>
      </c>
      <c r="F27" s="11" t="n">
        <v>5.7</v>
      </c>
      <c r="G27" s="11" t="s">
        <v>35</v>
      </c>
      <c r="H27" s="11" t="n">
        <v>5.7</v>
      </c>
      <c r="I27" s="11" t="str">
        <f aca="false">IF(C27="","—",IF(AND(IF($C$2="Male",E27,G27)=0,IF($C$2="Male",F27,H27)=9999),"—",IF(C27&lt;IF($C$2="Male",E27,G27),"Low",IF(C27&gt;IF($C$2="Male",F27,H27),"High","Normal"))))</f>
        <v>Low</v>
      </c>
      <c r="J27" s="11" t="s">
        <v>18</v>
      </c>
      <c r="K27" s="9" t="s">
        <v>60</v>
      </c>
    </row>
    <row r="28" customFormat="false" ht="19.5" hidden="false" customHeight="true" outlineLevel="0" collapsed="false">
      <c r="A28" s="6" t="s">
        <v>61</v>
      </c>
      <c r="B28" s="6" t="s">
        <v>62</v>
      </c>
      <c r="C28" s="7" t="n">
        <v>2.1</v>
      </c>
      <c r="D28" s="6" t="s">
        <v>63</v>
      </c>
      <c r="E28" s="8" t="n">
        <v>0.4</v>
      </c>
      <c r="F28" s="8" t="n">
        <v>4</v>
      </c>
      <c r="G28" s="8" t="n">
        <v>0.4</v>
      </c>
      <c r="H28" s="8" t="n">
        <v>4</v>
      </c>
      <c r="I28" s="8" t="str">
        <f aca="false">IF(C28="","—",IF(AND(IF($C$2="Male",E28,G28)=0,IF($C$2="Male",F28,H28)=9999),"—",IF(C28&lt;IF($C$2="Male",E28,G28),"Low",IF(C28&gt;IF($C$2="Male",F28,H28),"High","Normal"))))</f>
        <v>Normal</v>
      </c>
      <c r="J28" s="8" t="s">
        <v>18</v>
      </c>
      <c r="K28" s="6"/>
    </row>
    <row r="29" customFormat="false" ht="19.5" hidden="false" customHeight="true" outlineLevel="0" collapsed="false">
      <c r="A29" s="9" t="s">
        <v>64</v>
      </c>
      <c r="B29" s="9" t="s">
        <v>65</v>
      </c>
      <c r="C29" s="10" t="n">
        <v>28</v>
      </c>
      <c r="D29" s="9" t="s">
        <v>66</v>
      </c>
      <c r="E29" s="11" t="n">
        <v>7</v>
      </c>
      <c r="F29" s="11" t="n">
        <v>56</v>
      </c>
      <c r="G29" s="11" t="n">
        <v>7</v>
      </c>
      <c r="H29" s="11" t="n">
        <v>45</v>
      </c>
      <c r="I29" s="11" t="str">
        <f aca="false">IF(C29="","—",IF(AND(IF($C$2="Male",E29,G29)=0,IF($C$2="Male",F29,H29)=9999),"—",IF(C29&lt;IF($C$2="Male",E29,G29),"Low",IF(C29&gt;IF($C$2="Male",F29,H29),"High","Normal"))))</f>
        <v>Normal</v>
      </c>
      <c r="J29" s="11" t="s">
        <v>18</v>
      </c>
      <c r="K29" s="9" t="s">
        <v>67</v>
      </c>
    </row>
    <row r="30" customFormat="false" ht="19.5" hidden="false" customHeight="true" outlineLevel="0" collapsed="false">
      <c r="A30" s="12" t="s">
        <v>68</v>
      </c>
      <c r="B30" s="12" t="s">
        <v>69</v>
      </c>
      <c r="C30" s="13" t="n">
        <v>118</v>
      </c>
      <c r="D30" s="12" t="s">
        <v>70</v>
      </c>
      <c r="E30" s="14" t="n">
        <v>90</v>
      </c>
      <c r="F30" s="14" t="n">
        <v>120</v>
      </c>
      <c r="G30" s="14" t="n">
        <v>90</v>
      </c>
      <c r="H30" s="14" t="n">
        <v>120</v>
      </c>
      <c r="I30" s="14" t="str">
        <f aca="false">IF(C30="","—",IF(AND(IF($C$2="Male",E30,G30)=0,IF($C$2="Male",F30,H30)=9999),"—",IF(C30&lt;IF($C$2="Male",E30,G30),"Low",IF(C30&gt;IF($C$2="Male",F30,H30),"High","Normal"))))</f>
        <v>Normal</v>
      </c>
      <c r="J30" s="14" t="s">
        <v>18</v>
      </c>
      <c r="K30" s="12" t="s">
        <v>71</v>
      </c>
    </row>
    <row r="31" customFormat="false" ht="19.5" hidden="false" customHeight="true" outlineLevel="0" collapsed="false">
      <c r="A31" s="12" t="s">
        <v>68</v>
      </c>
      <c r="B31" s="12" t="s">
        <v>72</v>
      </c>
      <c r="C31" s="13" t="n">
        <v>76</v>
      </c>
      <c r="D31" s="12" t="s">
        <v>70</v>
      </c>
      <c r="E31" s="14" t="n">
        <v>60</v>
      </c>
      <c r="F31" s="14" t="n">
        <v>80</v>
      </c>
      <c r="G31" s="14" t="n">
        <v>60</v>
      </c>
      <c r="H31" s="14" t="n">
        <v>80</v>
      </c>
      <c r="I31" s="14" t="str">
        <f aca="false">IF(C31="","—",IF(AND(IF($C$2="Male",E31,G31)=0,IF($C$2="Male",F31,H31)=9999),"—",IF(C31&lt;IF($C$2="Male",E31,G31),"Low",IF(C31&gt;IF($C$2="Male",F31,H31),"High","Normal"))))</f>
        <v>Normal</v>
      </c>
      <c r="J31" s="14" t="s">
        <v>18</v>
      </c>
      <c r="K31" s="12" t="s">
        <v>73</v>
      </c>
    </row>
  </sheetData>
  <mergeCells count="3">
    <mergeCell ref="A1:K1"/>
    <mergeCell ref="A2:B2"/>
    <mergeCell ref="D2:K2"/>
  </mergeCells>
  <conditionalFormatting sqref="I5:I29">
    <cfRule type="containsText" priority="2" operator="containsText" aboveAverage="0" equalAverage="0" bottom="0" percent="0" rank="0" text="Normal" dxfId="0">
      <formula>NOT(ISERROR(SEARCH("Normal",I5)))</formula>
    </cfRule>
    <cfRule type="containsText" priority="3" operator="containsText" aboveAverage="0" equalAverage="0" bottom="0" percent="0" rank="0" text="High" dxfId="1">
      <formula>NOT(ISERROR(SEARCH("High",I5)))</formula>
    </cfRule>
    <cfRule type="containsText" priority="4" operator="containsText" aboveAverage="0" equalAverage="0" bottom="0" percent="0" rank="0" text="Low" dxfId="2">
      <formula>NOT(ISERROR(SEARCH("Low",I5)))</formula>
    </cfRule>
  </conditionalFormatting>
  <conditionalFormatting sqref="I5:I31">
    <cfRule type="containsText" priority="5" operator="containsText" aboveAverage="0" equalAverage="0" bottom="0" percent="0" rank="0" text="Normal" dxfId="0">
      <formula>NOT(ISERROR(SEARCH("Normal",I5)))</formula>
    </cfRule>
    <cfRule type="containsText" priority="6" operator="containsText" aboveAverage="0" equalAverage="0" bottom="0" percent="0" rank="0" text="High" dxfId="1">
      <formula>NOT(ISERROR(SEARCH("High",I5)))</formula>
    </cfRule>
    <cfRule type="containsText" priority="7" operator="containsText" aboveAverage="0" equalAverage="0" bottom="0" percent="0" rank="0" text="Low" dxfId="2">
      <formula>NOT(ISERROR(SEARCH("Low",I5)))</formula>
    </cfRule>
  </conditionalFormatting>
  <dataValidations count="1">
    <dataValidation allowBlank="false" errorStyle="stop" operator="between" showDropDown="false" showErrorMessage="false" showInputMessage="false" sqref="C2" type="list">
      <formula1>"Male,Female"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38"/>
  </cols>
  <sheetData>
    <row r="1" customFormat="false" ht="36" hidden="false" customHeight="true" outlineLevel="0" collapsed="false">
      <c r="A1" s="1" t="s">
        <v>74</v>
      </c>
      <c r="B1" s="1"/>
      <c r="C1" s="1"/>
    </row>
    <row r="2" customFormat="false" ht="15" hidden="false" customHeight="false" outlineLevel="0" collapsed="false">
      <c r="A2" s="15" t="s">
        <v>75</v>
      </c>
      <c r="B2" s="15" t="s">
        <v>76</v>
      </c>
      <c r="C2" s="15" t="s">
        <v>77</v>
      </c>
    </row>
    <row r="3" customFormat="false" ht="21.75" hidden="false" customHeight="true" outlineLevel="0" collapsed="false">
      <c r="A3" s="9" t="s">
        <v>78</v>
      </c>
      <c r="B3" s="9" t="s">
        <v>79</v>
      </c>
      <c r="C3" s="9" t="s">
        <v>80</v>
      </c>
    </row>
    <row r="4" customFormat="false" ht="21.75" hidden="false" customHeight="true" outlineLevel="0" collapsed="false">
      <c r="A4" s="6" t="s">
        <v>81</v>
      </c>
      <c r="B4" s="6" t="s">
        <v>82</v>
      </c>
      <c r="C4" s="6" t="s">
        <v>83</v>
      </c>
    </row>
    <row r="5" customFormat="false" ht="21.75" hidden="false" customHeight="true" outlineLevel="0" collapsed="false">
      <c r="A5" s="9" t="s">
        <v>84</v>
      </c>
      <c r="B5" s="9" t="s">
        <v>85</v>
      </c>
      <c r="C5" s="9" t="s">
        <v>86</v>
      </c>
    </row>
    <row r="6" customFormat="false" ht="21.75" hidden="false" customHeight="true" outlineLevel="0" collapsed="false">
      <c r="A6" s="6" t="s">
        <v>87</v>
      </c>
      <c r="B6" s="6" t="s">
        <v>88</v>
      </c>
      <c r="C6" s="6" t="s">
        <v>89</v>
      </c>
    </row>
    <row r="7" customFormat="false" ht="21.75" hidden="false" customHeight="true" outlineLevel="0" collapsed="false">
      <c r="A7" s="9" t="s">
        <v>90</v>
      </c>
      <c r="B7" s="9" t="s">
        <v>91</v>
      </c>
      <c r="C7" s="9" t="s">
        <v>92</v>
      </c>
    </row>
    <row r="8" customFormat="false" ht="21.75" hidden="false" customHeight="true" outlineLevel="0" collapsed="false">
      <c r="A8" s="6" t="s">
        <v>93</v>
      </c>
      <c r="B8" s="6" t="s">
        <v>94</v>
      </c>
      <c r="C8" s="6" t="s">
        <v>95</v>
      </c>
    </row>
    <row r="9" customFormat="false" ht="21.75" hidden="false" customHeight="true" outlineLevel="0" collapsed="false">
      <c r="A9" s="9" t="s">
        <v>96</v>
      </c>
      <c r="B9" s="9" t="s">
        <v>97</v>
      </c>
      <c r="C9" s="9" t="s">
        <v>98</v>
      </c>
    </row>
    <row r="10" customFormat="false" ht="21.75" hidden="false" customHeight="true" outlineLevel="0" collapsed="false">
      <c r="A10" s="6" t="s">
        <v>99</v>
      </c>
      <c r="B10" s="6" t="s">
        <v>100</v>
      </c>
      <c r="C10" s="6" t="s">
        <v>101</v>
      </c>
    </row>
    <row r="11" customFormat="false" ht="21.75" hidden="false" customHeight="true" outlineLevel="0" collapsed="false">
      <c r="A11" s="9" t="s">
        <v>102</v>
      </c>
      <c r="B11" s="9" t="s">
        <v>103</v>
      </c>
      <c r="C11" s="9" t="s">
        <v>104</v>
      </c>
    </row>
    <row r="12" customFormat="false" ht="21.75" hidden="false" customHeight="true" outlineLevel="0" collapsed="false">
      <c r="A12" s="6" t="s">
        <v>105</v>
      </c>
      <c r="B12" s="6" t="s">
        <v>106</v>
      </c>
      <c r="C12" s="6" t="s">
        <v>107</v>
      </c>
    </row>
    <row r="13" customFormat="false" ht="21.75" hidden="false" customHeight="true" outlineLevel="0" collapsed="false">
      <c r="A13" s="9" t="s">
        <v>108</v>
      </c>
      <c r="B13" s="9" t="s">
        <v>109</v>
      </c>
      <c r="C13" s="9" t="s">
        <v>110</v>
      </c>
    </row>
    <row r="14" customFormat="false" ht="21.75" hidden="false" customHeight="true" outlineLevel="0" collapsed="false">
      <c r="A14" s="6" t="s">
        <v>111</v>
      </c>
      <c r="B14" s="6" t="s">
        <v>112</v>
      </c>
      <c r="C14" s="6" t="s">
        <v>113</v>
      </c>
    </row>
    <row r="15" customFormat="false" ht="21.75" hidden="false" customHeight="true" outlineLevel="0" collapsed="false">
      <c r="A15" s="9" t="s">
        <v>114</v>
      </c>
      <c r="B15" s="9" t="s">
        <v>115</v>
      </c>
      <c r="C15" s="9" t="s">
        <v>116</v>
      </c>
    </row>
    <row r="16" customFormat="false" ht="21.75" hidden="false" customHeight="true" outlineLevel="0" collapsed="false">
      <c r="A16" s="6" t="s">
        <v>117</v>
      </c>
      <c r="B16" s="6" t="s">
        <v>118</v>
      </c>
      <c r="C16" s="6" t="s">
        <v>119</v>
      </c>
    </row>
    <row r="17" customFormat="false" ht="21.75" hidden="false" customHeight="true" outlineLevel="0" collapsed="false">
      <c r="A17" s="9" t="s">
        <v>120</v>
      </c>
      <c r="B17" s="9" t="s">
        <v>121</v>
      </c>
      <c r="C17" s="9" t="s">
        <v>122</v>
      </c>
    </row>
    <row r="18" customFormat="false" ht="21.75" hidden="false" customHeight="true" outlineLevel="0" collapsed="false">
      <c r="A18" s="6" t="s">
        <v>123</v>
      </c>
      <c r="B18" s="6" t="s">
        <v>124</v>
      </c>
      <c r="C18" s="6" t="s">
        <v>125</v>
      </c>
    </row>
    <row r="19" customFormat="false" ht="21.75" hidden="false" customHeight="true" outlineLevel="0" collapsed="false">
      <c r="A19" s="9" t="s">
        <v>126</v>
      </c>
      <c r="B19" s="9" t="s">
        <v>127</v>
      </c>
      <c r="C19" s="9" t="s">
        <v>128</v>
      </c>
    </row>
    <row r="20" customFormat="false" ht="21.75" hidden="false" customHeight="true" outlineLevel="0" collapsed="false">
      <c r="A20" s="6" t="s">
        <v>129</v>
      </c>
      <c r="B20" s="6" t="s">
        <v>130</v>
      </c>
      <c r="C20" s="6" t="s">
        <v>131</v>
      </c>
    </row>
    <row r="21" customFormat="false" ht="21.75" hidden="false" customHeight="true" outlineLevel="0" collapsed="false">
      <c r="A21" s="9" t="s">
        <v>132</v>
      </c>
      <c r="B21" s="9" t="s">
        <v>133</v>
      </c>
      <c r="C21" s="9" t="s">
        <v>122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2026-05-31T19:31:38Z</dcterms:created>
  <dc:creator>openpyxl</dc:creator>
  <dc:description/>
  <dc:language>en-US</dc:language>
  <cp:lastModifiedBy/>
  <dcterms:modified xsi:type="dcterms:W3CDTF">2026-05-31T19:31:38Z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